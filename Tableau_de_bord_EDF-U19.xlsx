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ACCUEIL" sheetId="1" state="visible" r:id="rId3"/>
    <sheet name="LEGENDE" sheetId="2" state="visible" r:id="rId4"/>
    <sheet name="EQUIPE" sheetId="3" state="visible" r:id="rId5"/>
    <sheet name="FICHE JOUEUR" sheetId="4" state="visible" r:id="rId6"/>
    <sheet name="MATCHS" sheetId="5" state="visible" r:id="rId7"/>
    <sheet name="COMPARAISON" sheetId="6" state="visible" r:id="rId8"/>
    <sheet name="GARDIENS" sheetId="7" state="visible" r:id="rId9"/>
    <sheet name="PARAMS" sheetId="8" state="hidden" r:id="rId10"/>
    <sheet name="NOTE" sheetId="9" state="visible" r:id="rId11"/>
    <sheet name="CALCUL_NOTE" sheetId="10" state="visible" r:id="rId12"/>
    <sheet name="EVAL_MATCH" sheetId="11" state="visible" r:id="rId13"/>
    <sheet name="SAISIE" sheetId="12" state="visible" r:id="rId14"/>
    <sheet name="JOUEURS" sheetId="13" state="visible" r:id="rId15"/>
    <sheet name="BASE_DATA" sheetId="14" state="visible" r:id="rId16"/>
    <sheet name="MATCHS_REF" sheetId="15" state="visible" r:id="rId17"/>
  </sheets>
  <externalReferences>
    <externalReference r:id="rId18"/>
  </externalReferences>
  <definedNames>
    <definedName function="false" hidden="true" localSheetId="13" name="_xlnm._FilterDatabase" vbProcedure="false">BASE_DATA!$A$1:$BI$58</definedName>
    <definedName function="false" hidden="true" localSheetId="2" name="_xlnm._FilterDatabase" vbProcedure="false">EQUIPE!$A$4:$T$23</definedName>
    <definedName function="false" hidden="true" localSheetId="12" name="_xlnm._FilterDatabase" vbProcedure="false">JOUEURS!$A$1:$G$25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<sst xmlns="http://schemas.openxmlformats.org/spreadsheetml/2006/main" count="1939" uniqueCount="452">
  <si>
    <t xml:space="preserve">EQUIPE DE FRANCE U19 FUTSAL - TABLEAU DE BORD</t>
  </si>
  <si>
    <t xml:space="preserve">MATCHS</t>
  </si>
  <si>
    <t xml:space="preserve">VICTOIRES</t>
  </si>
  <si>
    <t xml:space="preserve">NULS</t>
  </si>
  <si>
    <t xml:space="preserve">DÉFAITES</t>
  </si>
  <si>
    <t xml:space="preserve">BUTS FR</t>
  </si>
  <si>
    <t xml:space="preserve">BUTS ADV</t>
  </si>
  <si>
    <t xml:space="preserve">DIFF</t>
  </si>
  <si>
    <t xml:space="preserve">-3</t>
  </si>
  <si>
    <t xml:space="preserve">RÉSULTATS DES MATCHS</t>
  </si>
  <si>
    <t xml:space="preserve">Match</t>
  </si>
  <si>
    <t xml:space="preserve">Adversaire</t>
  </si>
  <si>
    <t xml:space="preserve">Lieu</t>
  </si>
  <si>
    <t xml:space="preserve">FRA</t>
  </si>
  <si>
    <t xml:space="preserve">ADV</t>
  </si>
  <si>
    <t xml:space="preserve">Résultat</t>
  </si>
  <si>
    <t xml:space="preserve">Diff</t>
  </si>
  <si>
    <t xml:space="preserve">TOP BUTEURS</t>
  </si>
  <si>
    <t xml:space="preserve">Buts</t>
  </si>
  <si>
    <t xml:space="preserve">TOP PASSEURS</t>
  </si>
  <si>
    <t xml:space="preserve">PD</t>
  </si>
  <si>
    <t xml:space="preserve">Match 1</t>
  </si>
  <si>
    <t xml:space="preserve">Croatie</t>
  </si>
  <si>
    <t xml:space="preserve">Victoire</t>
  </si>
  <si>
    <t xml:space="preserve">L. LADIRE</t>
  </si>
  <si>
    <t xml:space="preserve">F. SIMIAND</t>
  </si>
  <si>
    <t xml:space="preserve">Nul</t>
  </si>
  <si>
    <t xml:space="preserve">L. RAHO MOUSSA</t>
  </si>
  <si>
    <t xml:space="preserve">T. FERREIRA</t>
  </si>
  <si>
    <t xml:space="preserve">Match 2</t>
  </si>
  <si>
    <t xml:space="preserve">Portugal</t>
  </si>
  <si>
    <t xml:space="preserve">France</t>
  </si>
  <si>
    <t xml:space="preserve">Défaite</t>
  </si>
  <si>
    <t xml:space="preserve">O. KAMISSOKO</t>
  </si>
  <si>
    <t xml:space="preserve">S. AGUENGUI</t>
  </si>
  <si>
    <t xml:space="preserve">E. MOHAMED</t>
  </si>
  <si>
    <t xml:space="preserve">TOP TIREURS</t>
  </si>
  <si>
    <t xml:space="preserve">Tirs</t>
  </si>
  <si>
    <t xml:space="preserve">TOP REC+INT</t>
  </si>
  <si>
    <t xml:space="preserve">Total</t>
  </si>
  <si>
    <t xml:space="preserve">I. BERRADA</t>
  </si>
  <si>
    <t xml:space="preserve">Abréviation</t>
  </si>
  <si>
    <t xml:space="preserve">Signification</t>
  </si>
  <si>
    <t xml:space="preserve">N</t>
  </si>
  <si>
    <t xml:space="preserve">Numéro de maillot</t>
  </si>
  <si>
    <t xml:space="preserve">Min.</t>
  </si>
  <si>
    <t xml:space="preserve">Minutes jouées</t>
  </si>
  <si>
    <t xml:space="preserve">Passes décisives</t>
  </si>
  <si>
    <t xml:space="preserve">B+PD</t>
  </si>
  <si>
    <t xml:space="preserve">Buts + Passes décisives</t>
  </si>
  <si>
    <t xml:space="preserve">T.Cad</t>
  </si>
  <si>
    <t xml:space="preserve">Tirs cadrés</t>
  </si>
  <si>
    <t xml:space="preserve">%Cad</t>
  </si>
  <si>
    <t xml:space="preserve">Pourcentage de tirs cadrés</t>
  </si>
  <si>
    <t xml:space="preserve">Int.</t>
  </si>
  <si>
    <t xml:space="preserve">Interceptions</t>
  </si>
  <si>
    <t xml:space="preserve">Rec.</t>
  </si>
  <si>
    <t xml:space="preserve">Récupérations</t>
  </si>
  <si>
    <t xml:space="preserve">D.OFF G</t>
  </si>
  <si>
    <t xml:space="preserve">Duels offensifs gagnés</t>
  </si>
  <si>
    <t xml:space="preserve">D.OFF T</t>
  </si>
  <si>
    <t xml:space="preserve">Duels offensifs tentés</t>
  </si>
  <si>
    <t xml:space="preserve">%D.OFF</t>
  </si>
  <si>
    <t xml:space="preserve">Pourcentage de duels offensifs gagnés</t>
  </si>
  <si>
    <t xml:space="preserve">D.DEF G</t>
  </si>
  <si>
    <t xml:space="preserve">Duels défensifs gagnés</t>
  </si>
  <si>
    <t xml:space="preserve">D.DEF T</t>
  </si>
  <si>
    <t xml:space="preserve">Duels défensifs tentés</t>
  </si>
  <si>
    <t xml:space="preserve">%D.DEF</t>
  </si>
  <si>
    <t xml:space="preserve">Pourcentage de duels défensifs gagnés</t>
  </si>
  <si>
    <t xml:space="preserve">D.OFF G/T</t>
  </si>
  <si>
    <t xml:space="preserve">Duels offensifs gagnés / tentés</t>
  </si>
  <si>
    <t xml:space="preserve">D.DEF G/T</t>
  </si>
  <si>
    <t xml:space="preserve">Duels défensifs gagnés / tentés</t>
  </si>
  <si>
    <t xml:space="preserve">Fautes C.</t>
  </si>
  <si>
    <t xml:space="preserve">Fautes commises</t>
  </si>
  <si>
    <t xml:space="preserve">Fautes S.</t>
  </si>
  <si>
    <t xml:space="preserve">Fautes subies</t>
  </si>
  <si>
    <t xml:space="preserve">Err.T.</t>
  </si>
  <si>
    <t xml:space="preserve">Erreurs techniques</t>
  </si>
  <si>
    <t xml:space="preserve">Pass.L.</t>
  </si>
  <si>
    <t xml:space="preserve">Passes loupées</t>
  </si>
  <si>
    <t xml:space="preserve">Ball.R.</t>
  </si>
  <si>
    <t xml:space="preserve">Ballons rendus</t>
  </si>
  <si>
    <t xml:space="preserve">Rel.F R</t>
  </si>
  <si>
    <t xml:space="preserve">Relances faciles réussies</t>
  </si>
  <si>
    <t xml:space="preserve">Rel.F L</t>
  </si>
  <si>
    <t xml:space="preserve">Relances faciles loupées</t>
  </si>
  <si>
    <t xml:space="preserve">Rel.D R</t>
  </si>
  <si>
    <t xml:space="preserve">Relances difficiles réussies</t>
  </si>
  <si>
    <t xml:space="preserve">Rel.D L</t>
  </si>
  <si>
    <t xml:space="preserve">Relances difficiles loupées</t>
  </si>
  <si>
    <t xml:space="preserve">% Rel.</t>
  </si>
  <si>
    <t xml:space="preserve">Pourcentage de relances réussies</t>
  </si>
  <si>
    <t xml:space="preserve">% Arrêts</t>
  </si>
  <si>
    <t xml:space="preserve">Arrêts / (Arrêts + Buts encaissés)</t>
  </si>
  <si>
    <t xml:space="preserve">Arr/40</t>
  </si>
  <si>
    <t xml:space="preserve">Arrêts par 40 minutes</t>
  </si>
  <si>
    <t xml:space="preserve">BE/40</t>
  </si>
  <si>
    <t xml:space="preserve">Buts encaissés par 40 minutes</t>
  </si>
  <si>
    <t xml:space="preserve">Différence de buts</t>
  </si>
  <si>
    <t xml:space="preserve">REC+INT</t>
  </si>
  <si>
    <t xml:space="preserve">Récupérations + Interceptions</t>
  </si>
  <si>
    <t xml:space="preserve">Int_adv</t>
  </si>
  <si>
    <t xml:space="preserve">Interceptions adverses</t>
  </si>
  <si>
    <t xml:space="preserve">Rec_adv</t>
  </si>
  <si>
    <t xml:space="preserve">Récupérations adverses</t>
  </si>
  <si>
    <t xml:space="preserve">SYNTHÈSE ÉQUIPE - JOUEURS DE CHAMP</t>
  </si>
  <si>
    <t xml:space="preserve">Joueur</t>
  </si>
  <si>
    <t xml:space="preserve">Poste</t>
  </si>
  <si>
    <t xml:space="preserve">Matchs</t>
  </si>
  <si>
    <t xml:space="preserve">Pertes</t>
  </si>
  <si>
    <t xml:space="preserve">Meneur</t>
  </si>
  <si>
    <t xml:space="preserve">Ailier</t>
  </si>
  <si>
    <t xml:space="preserve">Meneur côté</t>
  </si>
  <si>
    <t xml:space="preserve">Z. CHAKRI</t>
  </si>
  <si>
    <t xml:space="preserve">Pivot</t>
  </si>
  <si>
    <t xml:space="preserve">-</t>
  </si>
  <si>
    <t xml:space="preserve">H. BRAGUE</t>
  </si>
  <si>
    <t xml:space="preserve">S. CARFACHE</t>
  </si>
  <si>
    <t xml:space="preserve">K. DA ROCHA</t>
  </si>
  <si>
    <t xml:space="preserve">S. LALAYMIA</t>
  </si>
  <si>
    <t xml:space="preserve">F. BADAD</t>
  </si>
  <si>
    <t xml:space="preserve">R. HOUMADI</t>
  </si>
  <si>
    <t xml:space="preserve">R. SNOUSSI</t>
  </si>
  <si>
    <t xml:space="preserve">A. HENRY</t>
  </si>
  <si>
    <t xml:space="preserve">M. TRAORE</t>
  </si>
  <si>
    <t xml:space="preserve">Y. EL KAIM BILLAH</t>
  </si>
  <si>
    <t xml:space="preserve">FICHE INDIVIDUELLE JOUEUR</t>
  </si>
  <si>
    <t xml:space="preserve">Numero</t>
  </si>
  <si>
    <t xml:space="preserve">Minutes</t>
  </si>
  <si>
    <t xml:space="preserve">Tirs_cadres</t>
  </si>
  <si>
    <t xml:space="preserve">Recuperations</t>
  </si>
  <si>
    <t xml:space="preserve">D_OFF_G</t>
  </si>
  <si>
    <t xml:space="preserve">D_OFF_T</t>
  </si>
  <si>
    <t xml:space="preserve">D_DEF_G</t>
  </si>
  <si>
    <t xml:space="preserve">D_DEF_T</t>
  </si>
  <si>
    <t xml:space="preserve">Pct_TC</t>
  </si>
  <si>
    <t xml:space="preserve">Pct_DO</t>
  </si>
  <si>
    <t xml:space="preserve">Pct_DD</t>
  </si>
  <si>
    <t xml:space="preserve">SELECTIONNER :</t>
  </si>
  <si>
    <t xml:space="preserve">CONTRIBUTION OFFENSIVE</t>
  </si>
  <si>
    <t xml:space="preserve">Passes dec.</t>
  </si>
  <si>
    <t xml:space="preserve">Tirs cadres</t>
  </si>
  <si>
    <t xml:space="preserve">% Tirs cad.</t>
  </si>
  <si>
    <t xml:space="preserve">CONTRIBUTION DEFENSIVE</t>
  </si>
  <si>
    <t xml:space="preserve">D.OFF gagnes</t>
  </si>
  <si>
    <t xml:space="preserve">D.OFF tentes</t>
  </si>
  <si>
    <t xml:space="preserve">D.DEF gagnes</t>
  </si>
  <si>
    <t xml:space="preserve">D.DEF tentes</t>
  </si>
  <si>
    <t xml:space="preserve">% D.OFF</t>
  </si>
  <si>
    <t xml:space="preserve">% D.DEF</t>
  </si>
  <si>
    <t xml:space="preserve">Stat</t>
  </si>
  <si>
    <t xml:space="preserve">Moy. Equipe</t>
  </si>
  <si>
    <t xml:space="preserve">ANALYSE PAR MATCH</t>
  </si>
  <si>
    <t xml:space="preserve">FRANCE 5 - 3 CROATIE (Croatie) - VICTOIRE</t>
  </si>
  <si>
    <t xml:space="preserve">Temps</t>
  </si>
  <si>
    <t xml:space="preserve">23'00</t>
  </si>
  <si>
    <t xml:space="preserve">1/2</t>
  </si>
  <si>
    <t xml:space="preserve">3/4</t>
  </si>
  <si>
    <t xml:space="preserve">17'30</t>
  </si>
  <si>
    <t xml:space="preserve">1/3</t>
  </si>
  <si>
    <t xml:space="preserve">16'00</t>
  </si>
  <si>
    <t xml:space="preserve">14'30</t>
  </si>
  <si>
    <t xml:space="preserve">0/1</t>
  </si>
  <si>
    <t xml:space="preserve">0/0</t>
  </si>
  <si>
    <t xml:space="preserve">9/9</t>
  </si>
  <si>
    <t xml:space="preserve">14'00</t>
  </si>
  <si>
    <t xml:space="preserve">12'40</t>
  </si>
  <si>
    <t xml:space="preserve">1/1</t>
  </si>
  <si>
    <t xml:space="preserve">3/3</t>
  </si>
  <si>
    <t xml:space="preserve">12'00</t>
  </si>
  <si>
    <t xml:space="preserve">11'00</t>
  </si>
  <si>
    <t xml:space="preserve">9'00</t>
  </si>
  <si>
    <t xml:space="preserve">4/9</t>
  </si>
  <si>
    <t xml:space="preserve">GARDIEN</t>
  </si>
  <si>
    <t xml:space="preserve">Gardien</t>
  </si>
  <si>
    <t xml:space="preserve">Arrets</t>
  </si>
  <si>
    <t xml:space="preserve">Buts enc.</t>
  </si>
  <si>
    <t xml:space="preserve">M. VALVERDE</t>
  </si>
  <si>
    <t xml:space="preserve">39'</t>
  </si>
  <si>
    <t xml:space="preserve">FRANCE 3 - 3 CROATIE (Croatie) - NUL</t>
  </si>
  <si>
    <t xml:space="preserve">18'30</t>
  </si>
  <si>
    <t xml:space="preserve">5/7</t>
  </si>
  <si>
    <t xml:space="preserve">2/3</t>
  </si>
  <si>
    <t xml:space="preserve">16'23</t>
  </si>
  <si>
    <t xml:space="preserve">1/6</t>
  </si>
  <si>
    <t xml:space="preserve">0/2</t>
  </si>
  <si>
    <t xml:space="preserve">13'50</t>
  </si>
  <si>
    <t xml:space="preserve">13'30</t>
  </si>
  <si>
    <t xml:space="preserve">13'10</t>
  </si>
  <si>
    <t xml:space="preserve">12'</t>
  </si>
  <si>
    <t xml:space="preserve">11'54</t>
  </si>
  <si>
    <t xml:space="preserve">11'27</t>
  </si>
  <si>
    <t xml:space="preserve">11'</t>
  </si>
  <si>
    <t xml:space="preserve">0/3</t>
  </si>
  <si>
    <t xml:space="preserve">9'34</t>
  </si>
  <si>
    <t xml:space="preserve">9'27</t>
  </si>
  <si>
    <t xml:space="preserve">9'04</t>
  </si>
  <si>
    <t xml:space="preserve">2/2</t>
  </si>
  <si>
    <t xml:space="preserve">8'16</t>
  </si>
  <si>
    <t xml:space="preserve">J. LUMECA</t>
  </si>
  <si>
    <t xml:space="preserve">20'</t>
  </si>
  <si>
    <t xml:space="preserve">FRANCE 4 – 6 PORTUGAL (France) - DEFAITE</t>
  </si>
  <si>
    <t xml:space="preserve">18'00</t>
  </si>
  <si>
    <t xml:space="preserve">16'30</t>
  </si>
  <si>
    <t xml:space="preserve">15'40</t>
  </si>
  <si>
    <t xml:space="preserve">15'00</t>
  </si>
  <si>
    <t xml:space="preserve">10'50</t>
  </si>
  <si>
    <t xml:space="preserve">10'30</t>
  </si>
  <si>
    <t xml:space="preserve">10'00</t>
  </si>
  <si>
    <t xml:space="preserve">2/4</t>
  </si>
  <si>
    <t xml:space="preserve">9'30</t>
  </si>
  <si>
    <t xml:space="preserve">D. LEFOULON</t>
  </si>
  <si>
    <t xml:space="preserve">K. BOUREBAIA</t>
  </si>
  <si>
    <t xml:space="preserve">FRANCE 3 - 6 PORTUGAL (France) - DEFAITE</t>
  </si>
  <si>
    <t xml:space="preserve">18'55</t>
  </si>
  <si>
    <t xml:space="preserve">1/4</t>
  </si>
  <si>
    <t xml:space="preserve">17'28</t>
  </si>
  <si>
    <t xml:space="preserve">3/7</t>
  </si>
  <si>
    <t xml:space="preserve">4/6</t>
  </si>
  <si>
    <t xml:space="preserve">14'36</t>
  </si>
  <si>
    <t xml:space="preserve">2/5</t>
  </si>
  <si>
    <t xml:space="preserve">14'05</t>
  </si>
  <si>
    <t xml:space="preserve">14'04</t>
  </si>
  <si>
    <t xml:space="preserve">13'45</t>
  </si>
  <si>
    <t xml:space="preserve">12'20</t>
  </si>
  <si>
    <t xml:space="preserve">11'29</t>
  </si>
  <si>
    <t xml:space="preserve">11'12</t>
  </si>
  <si>
    <t xml:space="preserve">10'09</t>
  </si>
  <si>
    <t xml:space="preserve">9'51</t>
  </si>
  <si>
    <t xml:space="preserve">2'18</t>
  </si>
  <si>
    <t xml:space="preserve">16'28</t>
  </si>
  <si>
    <t xml:space="preserve">5'58</t>
  </si>
  <si>
    <t xml:space="preserve">S. DRAME</t>
  </si>
  <si>
    <t xml:space="preserve">15'56</t>
  </si>
  <si>
    <t xml:space="preserve">COMPARAISON JOUEURS</t>
  </si>
  <si>
    <t xml:space="preserve">Tirs_cad</t>
  </si>
  <si>
    <t xml:space="preserve">Int</t>
  </si>
  <si>
    <t xml:space="preserve">Rec</t>
  </si>
  <si>
    <t xml:space="preserve">Min</t>
  </si>
  <si>
    <t xml:space="preserve">PORTÉE :</t>
  </si>
  <si>
    <t xml:space="preserve">Comparer 2 matchs</t>
  </si>
  <si>
    <t xml:space="preserve">MATCH A :</t>
  </si>
  <si>
    <t xml:space="preserve">Croatie - Match 1</t>
  </si>
  <si>
    <t xml:space="preserve">MATCH B :</t>
  </si>
  <si>
    <t xml:space="preserve">Portugal - Match 2</t>
  </si>
  <si>
    <t xml:space="preserve">MODE :</t>
  </si>
  <si>
    <t xml:space="preserve">Stats brutes</t>
  </si>
  <si>
    <t xml:space="preserve">Choisissez d'abord la portée. Match B sert uniquement en mode 'Comparer 2 matchs'.</t>
  </si>
  <si>
    <t xml:space="preserve">JOUEUR 1 :</t>
  </si>
  <si>
    <t xml:space="preserve">JOUEUR 2 :</t>
  </si>
  <si>
    <t xml:space="preserve">JOUEUR 3 :</t>
  </si>
  <si>
    <t xml:space="preserve">STATISTIQUE</t>
  </si>
  <si>
    <t xml:space="preserve">JOUEUR 1</t>
  </si>
  <si>
    <t xml:space="preserve">JOUEUR 2</t>
  </si>
  <si>
    <t xml:space="preserve">ECART</t>
  </si>
  <si>
    <t xml:space="preserve">Passes D.</t>
  </si>
  <si>
    <t xml:space="preserve">nul</t>
  </si>
  <si>
    <t xml:space="preserve">COMPARAISON MATCH A vs MATCH B (actif uniquement en mode "Comparer 2 matchs")</t>
  </si>
  <si>
    <t xml:space="preserve">→ Match A :</t>
  </si>
  <si>
    <t xml:space="preserve">→ Match B :</t>
  </si>
  <si>
    <t xml:space="preserve">Match A</t>
  </si>
  <si>
    <t xml:space="preserve">Match B</t>
  </si>
  <si>
    <t xml:space="preserve">Joueur (Match B)</t>
  </si>
  <si>
    <t xml:space="preserve">⚠️ Pour utiliser ce tableau : choisissez "Comparer 2 matchs" dans la cellule C3, puis sélectionnez Match A en F3 et Match B en I3.</t>
  </si>
  <si>
    <t xml:space="preserve">   Si la portée est "Total" ou "Match unique", ce tableau ne reflète pas l'analyse en cours (mais reste calculé).</t>
  </si>
  <si>
    <t xml:space="preserve">ANALYSE GARDIENS</t>
  </si>
  <si>
    <t xml:space="preserve">SYNTHÈSE GLOBALE</t>
  </si>
  <si>
    <t xml:space="preserve">% Arrets</t>
  </si>
  <si>
    <t xml:space="preserve">DÉTAIL PAR MATCH</t>
  </si>
  <si>
    <t xml:space="preserve">Match N</t>
  </si>
  <si>
    <t xml:space="preserve">Portee</t>
  </si>
  <si>
    <t xml:space="preserve">Libelle</t>
  </si>
  <si>
    <t xml:space="preserve">Match_ID</t>
  </si>
  <si>
    <t xml:space="preserve">Mode</t>
  </si>
  <si>
    <t xml:space="preserve">Total (tous matchs)</t>
  </si>
  <si>
    <t xml:space="preserve">FRA_CROATIE_M1</t>
  </si>
  <si>
    <t xml:space="preserve">Match unique</t>
  </si>
  <si>
    <t xml:space="preserve">Croatie - Match 2</t>
  </si>
  <si>
    <t xml:space="preserve">FRA_CROATIE_M2</t>
  </si>
  <si>
    <t xml:space="preserve">Par minute jouée</t>
  </si>
  <si>
    <t xml:space="preserve">Portugal - Match 1</t>
  </si>
  <si>
    <t xml:space="preserve">FRA_PORTUGAL_M1</t>
  </si>
  <si>
    <t xml:space="preserve">Par 40 min (match)</t>
  </si>
  <si>
    <t xml:space="preserve">FRA_PORTUGAL_M2</t>
  </si>
  <si>
    <t xml:space="preserve">📋 SYNTHÈSE NOTES — moyenne et détail par joueur</t>
  </si>
  <si>
    <t xml:space="preserve">Moyenne calculée sur tous les matchs joués. Vert ≥ 16, Rouge &lt; 10.</t>
  </si>
  <si>
    <t xml:space="preserve">Min totales</t>
  </si>
  <si>
    <t xml:space="preserve">MOYENNE</t>
  </si>
  <si>
    <t xml:space="preserve">Meilleure</t>
  </si>
  <si>
    <t xml:space="preserve">Pire</t>
  </si>
  <si>
    <t xml:space="preserve">Croatie M1</t>
  </si>
  <si>
    <t xml:space="preserve">Croatie M2</t>
  </si>
  <si>
    <t xml:space="preserve">Portugal M1</t>
  </si>
  <si>
    <t xml:space="preserve">Portugal M2</t>
  </si>
  <si>
    <t xml:space="preserve">📌 RAPPEL DE LA FORMULE</t>
  </si>
  <si>
    <t xml:space="preserve">• Note = Base (10) + Σ(coeff × stat positive) − Σ(coeff × stat négative) + Bonus EVAL_MATCH</t>
  </si>
  <si>
    <t xml:space="preserve">• Bonus EVAL_MATCH : note 10 = +3, note 5 = +1.5, note 0 = 0 (modifiable dans CALCUL_NOTE cellules E3/H3/K3)</t>
  </si>
  <si>
    <t xml:space="preserve">• Plafond final : 0 minimum, 20 maximum</t>
  </si>
  <si>
    <t xml:space="preserve">• Pour saisir un nouveau match : aller dans EVAL_MATCH</t>
  </si>
  <si>
    <t xml:space="preserve">⚙️ PARAMÈTRES DE NOTATION — modifiables pour ajuster la formule</t>
  </si>
  <si>
    <t xml:space="preserve">Modifier une valeur recalcule automatiquement toutes les notes.</t>
  </si>
  <si>
    <t xml:space="preserve">Note de départ</t>
  </si>
  <si>
    <t xml:space="preserve">Bonus Victoire</t>
  </si>
  <si>
    <t xml:space="preserve">Bonus Nul</t>
  </si>
  <si>
    <t xml:space="preserve">Bonus Défaite</t>
  </si>
  <si>
    <t xml:space="preserve">Note min/max</t>
  </si>
  <si>
    <t xml:space="preserve">0 / 20</t>
  </si>
  <si>
    <t xml:space="preserve">▼ OFFENSIVE</t>
  </si>
  <si>
    <t xml:space="preserve">▼ DÉFENSIVE</t>
  </si>
  <si>
    <t xml:space="preserve">▼ NÉGATIF</t>
  </si>
  <si>
    <t xml:space="preserve">▼ GARDIEN</t>
  </si>
  <si>
    <t xml:space="preserve">Action</t>
  </si>
  <si>
    <t xml:space="preserve">Coeff</t>
  </si>
  <si>
    <t xml:space="preserve">→Col</t>
  </si>
  <si>
    <t xml:space="preserve">T</t>
  </si>
  <si>
    <t xml:space="preserve">AN</t>
  </si>
  <si>
    <t xml:space="preserve">Interceptions adv</t>
  </si>
  <si>
    <t xml:space="preserve">AD</t>
  </si>
  <si>
    <t xml:space="preserve">Arrêts</t>
  </si>
  <si>
    <t xml:space="preserve">AQ</t>
  </si>
  <si>
    <t xml:space="preserve">U</t>
  </si>
  <si>
    <t xml:space="preserve">AO</t>
  </si>
  <si>
    <t xml:space="preserve">Récup. adv</t>
  </si>
  <si>
    <t xml:space="preserve">AG</t>
  </si>
  <si>
    <t xml:space="preserve">Buts encaissés</t>
  </si>
  <si>
    <t xml:space="preserve">AP</t>
  </si>
  <si>
    <t xml:space="preserve">W</t>
  </si>
  <si>
    <t xml:space="preserve">Duels DEF gagnés</t>
  </si>
  <si>
    <t xml:space="preserve">AJ</t>
  </si>
  <si>
    <t xml:space="preserve">Duels perdus</t>
  </si>
  <si>
    <t xml:space="preserve">AE</t>
  </si>
  <si>
    <t xml:space="preserve">Relances faciles ✓</t>
  </si>
  <si>
    <t xml:space="preserve">AR</t>
  </si>
  <si>
    <t xml:space="preserve">Tirs contrés</t>
  </si>
  <si>
    <t xml:space="preserve">Y</t>
  </si>
  <si>
    <t xml:space="preserve">AL</t>
  </si>
  <si>
    <t xml:space="preserve">Relances difficiles ✓</t>
  </si>
  <si>
    <t xml:space="preserve">AT</t>
  </si>
  <si>
    <t xml:space="preserve">Tirs hors cadre</t>
  </si>
  <si>
    <t xml:space="preserve">X</t>
  </si>
  <si>
    <t xml:space="preserve">AB</t>
  </si>
  <si>
    <t xml:space="preserve">Relances faciles ✗</t>
  </si>
  <si>
    <t xml:space="preserve">AS</t>
  </si>
  <si>
    <t xml:space="preserve">Duels OFF gagnés</t>
  </si>
  <si>
    <t xml:space="preserve">AH</t>
  </si>
  <si>
    <t xml:space="preserve">AC</t>
  </si>
  <si>
    <t xml:space="preserve">Relances diff. ✗</t>
  </si>
  <si>
    <t xml:space="preserve">AU</t>
  </si>
  <si>
    <t xml:space="preserve">AM</t>
  </si>
  <si>
    <t xml:space="preserve">Erreurs techn.</t>
  </si>
  <si>
    <t xml:space="preserve">AF</t>
  </si>
  <si>
    <t xml:space="preserve">📊 NOTES PAR MATCH — calculées automatiquement</t>
  </si>
  <si>
    <t xml:space="preserve">Une ligne = un joueur dans un match. Bonus issu de EVAL_MATCH (note 10/5/0).</t>
  </si>
  <si>
    <t xml:space="preserve">Δ OFF</t>
  </si>
  <si>
    <t xml:space="preserve">Δ DEF</t>
  </si>
  <si>
    <t xml:space="preserve">Δ NEG</t>
  </si>
  <si>
    <t xml:space="preserve">Δ GK</t>
  </si>
  <si>
    <t xml:space="preserve">Bonus</t>
  </si>
  <si>
    <t xml:space="preserve">Brute</t>
  </si>
  <si>
    <t xml:space="preserve">NOTE /20</t>
  </si>
  <si>
    <t xml:space="preserve">⭐ ÉVALUATION MANUELLE PAR MATCH — note 0/5/10 par joueur</t>
  </si>
  <si>
    <t xml:space="preserve">Pour ajouter un nouveau match : Match_ID + libellé, joueurs et notes. Le bonus se calcule tout seul. Note : 10 = gagne son match, 5 = nul, 0 = perd.</t>
  </si>
  <si>
    <t xml:space="preserve">Libellé</t>
  </si>
  <si>
    <t xml:space="preserve">Note (0/5/10)</t>
  </si>
  <si>
    <t xml:space="preserve">Bonus calculé</t>
  </si>
  <si>
    <t xml:space="preserve">📌 COMMENT AJOUTER UN NOUVEAU MATCH</t>
  </si>
  <si>
    <t xml:space="preserve">1. Créez d'abord le Match_ID dans BASE_DATA et MATCHS_REF (ex: FRA_ESPAGNE_M1)</t>
  </si>
  <si>
    <t xml:space="preserve">2. Ajoutez ici une ligne par joueur : Match_ID + Libellé + Joueur + Note (0/5/10)</t>
  </si>
  <si>
    <t xml:space="preserve">3. Le Bonus calculé apparaît automatiquement et alimente la feuille CALCUL_NOTE</t>
  </si>
  <si>
    <t xml:space="preserve">Bonus correspondants (modifiables dans CALCUL_NOTE) :  Note 10 → +3   |   Note 5 → +1.5   |   Note 0 → 0</t>
  </si>
  <si>
    <t xml:space="preserve">SAISIE DE NOUVEAUX MATCHS</t>
  </si>
  <si>
    <t xml:space="preserve">ETAPE 1 :</t>
  </si>
  <si>
    <t xml:space="preserve">Remplir les infos du match ci-dessous</t>
  </si>
  <si>
    <t xml:space="preserve">ETAPE 2 :</t>
  </si>
  <si>
    <t xml:space="preserve">Remplir les stats joueurs dans le tableau</t>
  </si>
  <si>
    <t xml:space="preserve">ETAPE 3 :</t>
  </si>
  <si>
    <t xml:space="preserve">Copier les lignes dans l'onglet BASE_DATA</t>
  </si>
  <si>
    <t xml:space="preserve">ETAPE 4 :</t>
  </si>
  <si>
    <t xml:space="preserve">Ajouter le match dans MATCHS_REF</t>
  </si>
  <si>
    <t xml:space="preserve">NOTE :</t>
  </si>
  <si>
    <t xml:space="preserve">Les onglets se mettent a jour automatiquement</t>
  </si>
  <si>
    <t xml:space="preserve">INFOS MATCH</t>
  </si>
  <si>
    <t xml:space="preserve">Match_No</t>
  </si>
  <si>
    <t xml:space="preserve">Date</t>
  </si>
  <si>
    <t xml:space="preserve">Competition</t>
  </si>
  <si>
    <t xml:space="preserve">Score_FRA</t>
  </si>
  <si>
    <t xml:space="preserve">Score_ADV</t>
  </si>
  <si>
    <t xml:space="preserve">FRA_XXX_M1</t>
  </si>
  <si>
    <t xml:space="preserve">2026-01-01</t>
  </si>
  <si>
    <t xml:space="preserve">Amical</t>
  </si>
  <si>
    <t xml:space="preserve">STATS JOUEURS</t>
  </si>
  <si>
    <t xml:space="preserve">Role</t>
  </si>
  <si>
    <t xml:space="preserve">Temps_jeu_txt</t>
  </si>
  <si>
    <t xml:space="preserve">Tirs_total</t>
  </si>
  <si>
    <t xml:space="preserve">Tirs_hors_cadre</t>
  </si>
  <si>
    <t xml:space="preserve">Tirs_contres</t>
  </si>
  <si>
    <t xml:space="preserve">Poteau_barre</t>
  </si>
  <si>
    <t xml:space="preserve">Passes_loupees</t>
  </si>
  <si>
    <t xml:space="preserve">Ballons_rendus</t>
  </si>
  <si>
    <t xml:space="preserve">Duels_perdus</t>
  </si>
  <si>
    <t xml:space="preserve">Err_tech</t>
  </si>
  <si>
    <t xml:space="preserve">Fautes_C</t>
  </si>
  <si>
    <t xml:space="preserve">Fautes_S</t>
  </si>
  <si>
    <t xml:space="preserve">Pied</t>
  </si>
  <si>
    <t xml:space="preserve">Club</t>
  </si>
  <si>
    <t xml:space="preserve">Taille_cm</t>
  </si>
  <si>
    <t xml:space="preserve">Poids_kg</t>
  </si>
  <si>
    <t xml:space="preserve">Droitier</t>
  </si>
  <si>
    <t xml:space="preserve">Gaucher</t>
  </si>
  <si>
    <t xml:space="preserve">Date_match</t>
  </si>
  <si>
    <t xml:space="preserve">Source_File</t>
  </si>
  <si>
    <t xml:space="preserve">Source_Page</t>
  </si>
  <si>
    <t xml:space="preserve">Temps_jeu_min</t>
  </si>
  <si>
    <t xml:space="preserve">Pct_match</t>
  </si>
  <si>
    <t xml:space="preserve">Passes_decisives</t>
  </si>
  <si>
    <t xml:space="preserve">Pertes_de_balles</t>
  </si>
  <si>
    <t xml:space="preserve">Interceptions_adv</t>
  </si>
  <si>
    <t xml:space="preserve">Erreurs_techniques</t>
  </si>
  <si>
    <t xml:space="preserve">Recuperations_adv</t>
  </si>
  <si>
    <t xml:space="preserve">Duels_OFF_gagnes</t>
  </si>
  <si>
    <t xml:space="preserve">Duels_OFF_tentes</t>
  </si>
  <si>
    <t xml:space="preserve">Duels_DEF_gagnes</t>
  </si>
  <si>
    <t xml:space="preserve">Duels_DEF_tentes</t>
  </si>
  <si>
    <t xml:space="preserve">Fautes_commises</t>
  </si>
  <si>
    <t xml:space="preserve">Fautes_subies</t>
  </si>
  <si>
    <t xml:space="preserve">Buts_encaisses</t>
  </si>
  <si>
    <t xml:space="preserve">Relances_faciles_reussies</t>
  </si>
  <si>
    <t xml:space="preserve">Relances_faciles_loupees</t>
  </si>
  <si>
    <t xml:space="preserve">Relances_difficiles_reussies</t>
  </si>
  <si>
    <t xml:space="preserve">Relances_difficiles_loupees</t>
  </si>
  <si>
    <t xml:space="preserve">Tirs_cadres_pct</t>
  </si>
  <si>
    <t xml:space="preserve">Duels_OFF_pct</t>
  </si>
  <si>
    <t xml:space="preserve">Duels_DEF_pct</t>
  </si>
  <si>
    <t xml:space="preserve">Buts_40</t>
  </si>
  <si>
    <t xml:space="preserve">PD_40</t>
  </si>
  <si>
    <t xml:space="preserve">Tirs_40</t>
  </si>
  <si>
    <t xml:space="preserve">Interceptions_40</t>
  </si>
  <si>
    <t xml:space="preserve">Recuperations_40</t>
  </si>
  <si>
    <t xml:space="preserve">Pertes_40</t>
  </si>
  <si>
    <t xml:space="preserve">Arrets_40</t>
  </si>
  <si>
    <t xml:space="preserve">Buts_encaisses_40</t>
  </si>
  <si>
    <t xml:space="preserve">Relances_reussies_total</t>
  </si>
  <si>
    <t xml:space="preserve">Relances_loupees_total</t>
  </si>
  <si>
    <t xml:space="preserve">Relances_reussite_pct</t>
  </si>
  <si>
    <t xml:space="preserve">Stat Indiv EDF - CROATIE (Match n°1).pdf</t>
  </si>
  <si>
    <t xml:space="preserve">Stat Indiv EDF - CROATIE (Match n°2).pdf</t>
  </si>
  <si>
    <t xml:space="preserve">1_Stat Indiv EDF - PORTUGAL (Match n°1).pdf</t>
  </si>
  <si>
    <t xml:space="preserve">2_Stat Indiv EDF - PORTUGAL (Match n°2).pdf</t>
  </si>
  <si>
    <t xml:space="preserve">Score_France</t>
  </si>
  <si>
    <t xml:space="preserve">Score_Adverse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</si>
</sst>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\ %"/>
    <numFmt numFmtId="166" formatCode="#,##0.00"/>
    <numFmt numFmtId="167" formatCode="0.#"/>
    <numFmt numFmtId="168" formatCode="0.0"/>
    <numFmt numFmtId="169" formatCode="0"/>
    <numFmt numFmtId="170" formatCode="0.00"/>
  </numFmts>
  <fonts count="5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26"/>
      <color rgb="FF002654"/>
      <name val="Arial"/>
      <family val="0"/>
      <charset val="1"/>
    </font>
    <font>
      <b val="true"/>
      <sz val="26"/>
      <color rgb="FF228B22"/>
      <name val="Arial"/>
      <family val="0"/>
      <charset val="1"/>
    </font>
    <font>
      <b val="true"/>
      <sz val="26"/>
      <color rgb="FFED2939"/>
      <name val="Arial"/>
      <family val="0"/>
      <charset val="1"/>
    </font>
    <font>
      <b val="true"/>
      <sz val="13"/>
      <color rgb="FF00265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28B2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ED2939"/>
      <name val="Arial"/>
      <family val="0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8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4"/>
      <color rgb="FFED2939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2"/>
    </font>
    <font>
      <b val="true"/>
      <sz val="14"/>
      <color rgb="FFFFFFFF"/>
      <name val="Arial"/>
      <family val="0"/>
      <charset val="1"/>
    </font>
    <font>
      <b val="true"/>
      <sz val="13"/>
      <color theme="1"/>
      <name val="Calibri"/>
      <family val="2"/>
      <charset val="1"/>
    </font>
    <font>
      <b val="true"/>
      <sz val="13"/>
      <color rgb="FFFFFFFF"/>
      <name val="Calibri"/>
      <family val="0"/>
      <charset val="1"/>
    </font>
    <font>
      <b val="true"/>
      <sz val="13"/>
      <color rgb="FFC00000"/>
      <name val="Calibri"/>
      <family val="0"/>
      <charset val="1"/>
    </font>
    <font>
      <b val="true"/>
      <i val="true"/>
      <sz val="9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002654"/>
      <name val="Arial"/>
      <family val="0"/>
      <charset val="1"/>
    </font>
    <font>
      <b val="true"/>
      <sz val="12"/>
      <color rgb="FF2A6099"/>
      <name val="Arial"/>
      <family val="0"/>
      <charset val="1"/>
    </font>
    <font>
      <b val="true"/>
      <sz val="12"/>
      <color rgb="FFFF0000"/>
      <name val="Arial"/>
      <family val="0"/>
      <charset val="1"/>
    </font>
    <font>
      <b val="true"/>
      <sz val="12"/>
      <color rgb="FFFFD428"/>
      <name val="Arial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000000"/>
      <name val="Calibri"/>
      <family val="0"/>
      <charset val="1"/>
    </font>
    <font>
      <b val="true"/>
      <sz val="10"/>
      <color rgb="FF1F4E78"/>
      <name val="Cambria"/>
      <family val="0"/>
      <charset val="1"/>
    </font>
    <font>
      <b val="true"/>
      <sz val="10"/>
      <color rgb="FFC00000"/>
      <name val="Cambria"/>
      <family val="0"/>
      <charset val="1"/>
    </font>
    <font>
      <b val="true"/>
      <sz val="11"/>
      <color rgb="FF1F4E78"/>
      <name val="Cambria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i val="true"/>
      <sz val="9"/>
      <color rgb="FF00000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9"/>
      <color rgb="FFFFFFFF"/>
      <name val="Cambria"/>
      <family val="0"/>
      <charset val="1"/>
    </font>
    <font>
      <sz val="9"/>
      <name val="Cambria"/>
      <family val="0"/>
      <charset val="1"/>
    </font>
    <font>
      <sz val="10"/>
      <name val="Cambria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00265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02654"/>
        <bgColor rgb="FF1B3A5C"/>
      </patternFill>
    </fill>
    <fill>
      <patternFill patternType="solid">
        <fgColor rgb="FFED2939"/>
        <bgColor rgb="FFFF420E"/>
      </patternFill>
    </fill>
    <fill>
      <patternFill patternType="solid">
        <fgColor rgb="FF1B3A5C"/>
        <bgColor rgb="FF1F4E78"/>
      </patternFill>
    </fill>
    <fill>
      <patternFill patternType="solid">
        <fgColor rgb="FFEBF1F8"/>
        <bgColor rgb="FFF2F2F2"/>
      </patternFill>
    </fill>
    <fill>
      <patternFill patternType="solid">
        <fgColor rgb="FFFF0000"/>
        <bgColor rgb="FFC00000"/>
      </patternFill>
    </fill>
    <fill>
      <patternFill patternType="solid">
        <fgColor rgb="FFFFF8DC"/>
        <bgColor rgb="FFFFF2CC"/>
      </patternFill>
    </fill>
    <fill>
      <patternFill patternType="solid">
        <fgColor rgb="FFF8D7DA"/>
        <bgColor rgb="FFF4CCCC"/>
      </patternFill>
    </fill>
    <fill>
      <patternFill patternType="solid">
        <fgColor rgb="FF228B22"/>
        <bgColor rgb="FF006100"/>
      </patternFill>
    </fill>
    <fill>
      <patternFill patternType="solid">
        <fgColor rgb="FF1F4E78"/>
        <bgColor rgb="FF1B3A5C"/>
      </patternFill>
    </fill>
    <fill>
      <patternFill patternType="solid">
        <fgColor rgb="FFFFF2CC"/>
        <bgColor rgb="FFFFF8DC"/>
      </patternFill>
    </fill>
    <fill>
      <patternFill patternType="solid">
        <fgColor rgb="FFD9E1F2"/>
        <bgColor rgb="FFD9D9D9"/>
      </patternFill>
    </fill>
    <fill>
      <patternFill patternType="solid">
        <fgColor rgb="FFF4CCCC"/>
        <bgColor rgb="FFFFC7CE"/>
      </patternFill>
    </fill>
    <fill>
      <patternFill patternType="solid">
        <fgColor rgb="FFC00000"/>
        <bgColor rgb="FF9C0006"/>
      </patternFill>
    </fill>
    <fill>
      <patternFill patternType="solid">
        <fgColor rgb="FFF2F7FC"/>
        <bgColor rgb="FFF9F9F9"/>
      </patternFill>
    </fill>
    <fill>
      <patternFill patternType="solid">
        <fgColor rgb="FFFCEDED"/>
        <bgColor rgb="FFF2F2F2"/>
      </patternFill>
    </fill>
    <fill>
      <patternFill patternType="solid">
        <fgColor rgb="FFF2F2F2"/>
        <bgColor rgb="FFEBF1F8"/>
      </patternFill>
    </fill>
    <fill>
      <patternFill patternType="solid">
        <fgColor rgb="FFFFFFFF"/>
        <bgColor rgb="FFF9F9F9"/>
      </patternFill>
    </fill>
    <fill>
      <patternFill patternType="solid">
        <fgColor rgb="FF4472C4"/>
        <bgColor rgb="FF4A90D9"/>
      </patternFill>
    </fill>
    <fill>
      <patternFill patternType="solid">
        <fgColor rgb="FFE2EFDA"/>
        <bgColor rgb="FFEBF1F8"/>
      </patternFill>
    </fill>
    <fill>
      <patternFill patternType="solid">
        <fgColor rgb="FFFCE4D6"/>
        <bgColor rgb="FFFCEDED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thick">
        <color rgb="FFED2939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ck">
        <color rgb="FF4A90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8" borderId="2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9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1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7" fillId="11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1" fillId="7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3" fillId="7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1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9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39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1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" fillId="16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2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4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5" fillId="1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3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6" fillId="18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4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7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20" borderId="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70" fontId="4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3" fillId="2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21" borderId="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3" fillId="2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8" fillId="11" borderId="6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43" fillId="11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2" fillId="1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4" fillId="1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9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1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9" fillId="1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9" fillId="1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34" fillId="1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3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3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9" fillId="17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34" fillId="17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3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0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2" fillId="7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002654"/>
          <bgColor rgb="FF000000"/>
        </patternFill>
      </fill>
    </dxf>
    <dxf>
      <fill>
        <patternFill patternType="solid">
          <fgColor rgb="FFEBF1F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Calibri"/>
        <charset val="1"/>
        <family val="2"/>
        <b val="1"/>
        <color rgb="FF006100"/>
        <sz val="11"/>
      </font>
      <fill>
        <patternFill>
          <bgColor rgb="FFC6EFCE"/>
        </patternFill>
      </fill>
    </dxf>
    <dxf>
      <font>
        <name val="Calibri"/>
        <charset val="1"/>
        <family val="2"/>
        <b val="1"/>
        <color rgb="FF9C0006"/>
        <sz val="11"/>
      </font>
      <fill>
        <patternFill>
          <bgColor rgb="FFFFC7CE"/>
        </patternFill>
      </fill>
    </dxf>
    <dxf>
      <font>
        <name val="Calibri"/>
        <charset val="1"/>
        <family val="2"/>
        <b val="1"/>
        <color rgb="FF9C5700"/>
        <sz val="11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D320"/>
      <rgbColor rgb="FFFF00FF"/>
      <rgbColor rgb="FFF2F7FC"/>
      <rgbColor rgb="FF9C0006"/>
      <rgbColor rgb="FF228B22"/>
      <rgbColor rgb="FF000080"/>
      <rgbColor rgb="FF9C5700"/>
      <rgbColor rgb="FF800080"/>
      <rgbColor rgb="FF004586"/>
      <rgbColor rgb="FFBFBFBF"/>
      <rgbColor rgb="FF808080"/>
      <rgbColor rgb="FFD9E1F2"/>
      <rgbColor rgb="FF8C3836"/>
      <rgbColor rgb="FFFFF8DC"/>
      <rgbColor rgb="FFEBF1F8"/>
      <rgbColor rgb="FF660066"/>
      <rgbColor rgb="FFED2939"/>
      <rgbColor rgb="FF2A6099"/>
      <rgbColor rgb="FFD9D9D9"/>
      <rgbColor rgb="FF000080"/>
      <rgbColor rgb="FFFF00FF"/>
      <rgbColor rgb="FFFFD428"/>
      <rgbColor rgb="FFF9F9F9"/>
      <rgbColor rgb="FF800080"/>
      <rgbColor rgb="FFC00000"/>
      <rgbColor rgb="FF595959"/>
      <rgbColor rgb="FF0000FF"/>
      <rgbColor rgb="FFFCEDED"/>
      <rgbColor rgb="FFE2EFDA"/>
      <rgbColor rgb="FFC6EFCE"/>
      <rgbColor rgb="FFFFEB9C"/>
      <rgbColor rgb="FFB3B3B3"/>
      <rgbColor rgb="FFFFC7CE"/>
      <rgbColor rgb="FFF8D7DA"/>
      <rgbColor rgb="FFF4CCCC"/>
      <rgbColor rgb="FF4472C4"/>
      <rgbColor rgb="FFF2F2F2"/>
      <rgbColor rgb="FFFCE4D6"/>
      <rgbColor rgb="FFFFD700"/>
      <rgbColor rgb="FFFFF2CC"/>
      <rgbColor rgb="FFFF420E"/>
      <rgbColor rgb="FF666666"/>
      <rgbColor rgb="FF878787"/>
      <rgbColor rgb="FF002654"/>
      <rgbColor rgb="FF4A90D9"/>
      <rgbColor rgb="FF006100"/>
      <rgbColor rgb="FF443205"/>
      <rgbColor rgb="FF7B3D00"/>
      <rgbColor rgb="FFA54342"/>
      <rgbColor rgb="FF1F4E78"/>
      <rgbColor rgb="FF1B3A5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externalLink" Target="externalLinks/externalLink1.xml"/><Relationship Id="rId1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Contributions offensives (Buts + PD)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EQUIPE!$F$4</c:f>
              <c:strCache>
                <c:ptCount val="1"/>
                <c:pt idx="0">
                  <c:v>Buts</c:v>
                </c:pt>
              </c:strCache>
            </c:strRef>
          </c:tx>
          <c:spPr>
            <a:solidFill>
              <a:srgbClr val="00265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EQUIPE!$F$5:$F$23</c:f>
              <c:numCache>
                <c:formatCode>General</c:formatCode>
                <c:ptCount val="19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EQUIPE!$G$4</c:f>
              <c:strCache>
                <c:ptCount val="1"/>
                <c:pt idx="0">
                  <c:v>PD</c:v>
                </c:pt>
              </c:strCache>
            </c:strRef>
          </c:tx>
          <c:spPr>
            <a:solidFill>
              <a:srgbClr val="ed293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EQUIPE!$G$5:$G$23</c:f>
              <c:numCache>
                <c:formatCode>General</c:formatCode>
                <c:ptCount val="19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</c:ser>
        <c:gapWidth val="150"/>
        <c:overlap val="0"/>
        <c:axId val="61256879"/>
        <c:axId val="78179015"/>
      </c:barChart>
      <c:catAx>
        <c:axId val="612568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8179015"/>
        <c:crosses val="autoZero"/>
        <c:auto val="1"/>
        <c:lblAlgn val="ctr"/>
        <c:lblOffset val="100"/>
        <c:noMultiLvlLbl val="0"/>
      </c:catAx>
      <c:valAx>
        <c:axId val="78179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2568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Contributions défensives (Int + Rec)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EQUIPE!$L$4</c:f>
              <c:strCache>
                <c:ptCount val="1"/>
                <c:pt idx="0">
                  <c:v>Int.</c:v>
                </c:pt>
              </c:strCache>
            </c:strRef>
          </c:tx>
          <c:spPr>
            <a:solidFill>
              <a:srgbClr val="00265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EQUIPE!$L$5:$L$23</c:f>
              <c:numCache>
                <c:formatCode>General</c:formatCode>
                <c:ptCount val="19"/>
                <c:pt idx="0">
                  <c:v>12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10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EQUIPE!$M$4</c:f>
              <c:strCache>
                <c:ptCount val="1"/>
                <c:pt idx="0">
                  <c:v>Rec.</c:v>
                </c:pt>
              </c:strCache>
            </c:strRef>
          </c:tx>
          <c:spPr>
            <a:solidFill>
              <a:srgbClr val="ed293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EQUIPE!$M$5:$M$23</c:f>
              <c:numCache>
                <c:formatCode>General</c:formatCode>
                <c:ptCount val="19"/>
                <c:pt idx="0">
                  <c:v>11</c:v>
                </c:pt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7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1</c:v>
                </c:pt>
                <c:pt idx="15">
                  <c:v>6</c:v>
                </c:pt>
                <c:pt idx="16">
                  <c:v>1</c:v>
                </c:pt>
                <c:pt idx="17">
                  <c:v>2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9896517"/>
        <c:axId val="64806905"/>
      </c:barChart>
      <c:catAx>
        <c:axId val="989651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4806905"/>
        <c:crosses val="autoZero"/>
        <c:auto val="1"/>
        <c:lblAlgn val="ctr"/>
        <c:lblOffset val="100"/>
        <c:noMultiLvlLbl val="0"/>
      </c:catAx>
      <c:valAx>
        <c:axId val="64806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965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Pertes de balles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EQUIPE!$N$4</c:f>
              <c:strCache>
                <c:ptCount val="1"/>
                <c:pt idx="0">
                  <c:v>Pertes</c:v>
                </c:pt>
              </c:strCache>
            </c:strRef>
          </c:tx>
          <c:spPr>
            <a:solidFill>
              <a:srgbClr val="00265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EQUIPE!$N$5:$N$23</c:f>
              <c:numCache>
                <c:formatCode>General</c:formatCode>
                <c:ptCount val="19"/>
                <c:pt idx="0">
                  <c:v>30</c:v>
                </c:pt>
                <c:pt idx="1">
                  <c:v>23</c:v>
                </c:pt>
                <c:pt idx="2">
                  <c:v>29</c:v>
                </c:pt>
                <c:pt idx="3">
                  <c:v>38</c:v>
                </c:pt>
                <c:pt idx="4">
                  <c:v>26</c:v>
                </c:pt>
                <c:pt idx="5">
                  <c:v>13</c:v>
                </c:pt>
                <c:pt idx="6">
                  <c:v>16</c:v>
                </c:pt>
                <c:pt idx="7">
                  <c:v>13</c:v>
                </c:pt>
                <c:pt idx="8">
                  <c:v>8</c:v>
                </c:pt>
                <c:pt idx="9">
                  <c:v>6</c:v>
                </c:pt>
                <c:pt idx="10">
                  <c:v>11</c:v>
                </c:pt>
                <c:pt idx="11">
                  <c:v>5</c:v>
                </c:pt>
                <c:pt idx="12">
                  <c:v>12</c:v>
                </c:pt>
                <c:pt idx="13">
                  <c:v>13</c:v>
                </c:pt>
                <c:pt idx="14">
                  <c:v>2</c:v>
                </c:pt>
                <c:pt idx="15">
                  <c:v>11</c:v>
                </c:pt>
                <c:pt idx="16">
                  <c:v>10</c:v>
                </c:pt>
                <c:pt idx="17">
                  <c:v>4</c:v>
                </c:pt>
                <c:pt idx="18">
                  <c:v>2</c:v>
                </c:pt>
              </c:numCache>
            </c:numRef>
          </c:val>
        </c:ser>
        <c:gapWidth val="150"/>
        <c:overlap val="0"/>
        <c:axId val="34204276"/>
        <c:axId val="67730020"/>
      </c:barChart>
      <c:catAx>
        <c:axId val="342042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7730020"/>
        <c:crosses val="autoZero"/>
        <c:auto val="1"/>
        <c:lblAlgn val="ctr"/>
        <c:lblOffset val="100"/>
        <c:noMultiLvlLbl val="0"/>
      </c:catAx>
      <c:valAx>
        <c:axId val="677300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420427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Duels gagnés / total (DEF)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EQUIPE!$R$4</c:f>
              <c:strCache>
                <c:ptCount val="1"/>
                <c:pt idx="0">
                  <c:v>D.DEF G</c:v>
                </c:pt>
              </c:strCache>
            </c:strRef>
          </c:tx>
          <c:spPr>
            <a:solidFill>
              <a:srgbClr val="00265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EQUIPE!$R$5:$R$23</c:f>
              <c:numCache>
                <c:formatCode>General</c:formatCode>
                <c:ptCount val="19"/>
                <c:pt idx="0">
                  <c:v>4</c:v>
                </c:pt>
                <c:pt idx="1">
                  <c:v>0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6</c:v>
                </c:pt>
                <c:pt idx="7">
                  <c:v>0</c:v>
                </c:pt>
                <c:pt idx="8">
                  <c:v>1</c:v>
                </c:pt>
                <c:pt idx="9">
                  <c:v>3</c:v>
                </c:pt>
                <c:pt idx="10">
                  <c:v>4</c:v>
                </c:pt>
                <c:pt idx="11">
                  <c:v>0</c:v>
                </c:pt>
                <c:pt idx="12">
                  <c:v>5</c:v>
                </c:pt>
                <c:pt idx="13">
                  <c:v>2</c:v>
                </c:pt>
                <c:pt idx="14">
                  <c:v>0</c:v>
                </c:pt>
                <c:pt idx="15">
                  <c:v>1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EQUIPE!$S$4</c:f>
              <c:strCache>
                <c:ptCount val="1"/>
                <c:pt idx="0">
                  <c:v>D.DEF 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EQUIPE!$S$5:$S$23</c:f>
              <c:numCache>
                <c:formatCode>General</c:formatCode>
                <c:ptCount val="19"/>
                <c:pt idx="0">
                  <c:v>6</c:v>
                </c:pt>
                <c:pt idx="1">
                  <c:v>2</c:v>
                </c:pt>
                <c:pt idx="2">
                  <c:v>6</c:v>
                </c:pt>
                <c:pt idx="3">
                  <c:v>9</c:v>
                </c:pt>
                <c:pt idx="4">
                  <c:v>5</c:v>
                </c:pt>
                <c:pt idx="5">
                  <c:v>3</c:v>
                </c:pt>
                <c:pt idx="6">
                  <c:v>9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0</c:v>
                </c:pt>
                <c:pt idx="12">
                  <c:v>7</c:v>
                </c:pt>
                <c:pt idx="13">
                  <c:v>4</c:v>
                </c:pt>
                <c:pt idx="14">
                  <c:v>0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96475197"/>
        <c:axId val="23371587"/>
      </c:barChart>
      <c:catAx>
        <c:axId val="964751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3371587"/>
        <c:crosses val="autoZero"/>
        <c:auto val="1"/>
        <c:lblAlgn val="ctr"/>
        <c:lblOffset val="100"/>
        <c:noMultiLvlLbl val="0"/>
      </c:catAx>
      <c:valAx>
        <c:axId val="233715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4751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Duels gagnés / total (OFF)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EQUIPE!$O$4</c:f>
              <c:strCache>
                <c:ptCount val="1"/>
                <c:pt idx="0">
                  <c:v>D.OFF G</c:v>
                </c:pt>
              </c:strCache>
            </c:strRef>
          </c:tx>
          <c:spPr>
            <a:solidFill>
              <a:srgbClr val="00265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EQUIPE!$O$5:$O$23</c:f>
              <c:numCache>
                <c:formatCode>General</c:formatCode>
                <c:ptCount val="19"/>
                <c:pt idx="0">
                  <c:v>8</c:v>
                </c:pt>
                <c:pt idx="1">
                  <c:v>2</c:v>
                </c:pt>
                <c:pt idx="2">
                  <c:v>10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8</c:v>
                </c:pt>
                <c:pt idx="7">
                  <c:v>12</c:v>
                </c:pt>
                <c:pt idx="8">
                  <c:v>3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strRef>
              <c:f>EQUIPE!$P$4</c:f>
              <c:strCache>
                <c:ptCount val="1"/>
                <c:pt idx="0">
                  <c:v>D.OFF T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EQUIPE!$A$5:$A$23</c:f>
              <c:strCache>
                <c:ptCount val="19"/>
                <c:pt idx="0">
                  <c:v>L. LADIRE</c:v>
                </c:pt>
                <c:pt idx="1">
                  <c:v>T. FERREIRA</c:v>
                </c:pt>
                <c:pt idx="2">
                  <c:v>O. KAMISSOKO</c:v>
                </c:pt>
                <c:pt idx="3">
                  <c:v>F. SIMIAND</c:v>
                </c:pt>
                <c:pt idx="4">
                  <c:v>I. BERRADA</c:v>
                </c:pt>
                <c:pt idx="5">
                  <c:v>Z. CHAKRI</c:v>
                </c:pt>
                <c:pt idx="6">
                  <c:v>E. MOHAMED</c:v>
                </c:pt>
                <c:pt idx="7">
                  <c:v>L. RAHO MOUSSA</c:v>
                </c:pt>
                <c:pt idx="8">
                  <c:v>H. BRAGUE</c:v>
                </c:pt>
                <c:pt idx="9">
                  <c:v>S. AGUENGUI</c:v>
                </c:pt>
                <c:pt idx="10">
                  <c:v>S. CARFACHE</c:v>
                </c:pt>
                <c:pt idx="11">
                  <c:v>K. DA ROCHA</c:v>
                </c:pt>
                <c:pt idx="12">
                  <c:v>S. LALAYMIA</c:v>
                </c:pt>
                <c:pt idx="13">
                  <c:v>F. BADAD</c:v>
                </c:pt>
                <c:pt idx="14">
                  <c:v>R. HOUMADI</c:v>
                </c:pt>
                <c:pt idx="15">
                  <c:v>R. SNOUSSI</c:v>
                </c:pt>
                <c:pt idx="16">
                  <c:v>A. HENRY</c:v>
                </c:pt>
                <c:pt idx="17">
                  <c:v>M. TRAORE</c:v>
                </c:pt>
                <c:pt idx="18">
                  <c:v>Y. EL KAIM BILLAH</c:v>
                </c:pt>
              </c:strCache>
            </c:strRef>
          </c:cat>
          <c:val>
            <c:numRef>
              <c:f>EQUIPE!$P$5:$P$23</c:f>
              <c:numCache>
                <c:formatCode>General</c:formatCode>
                <c:ptCount val="19"/>
                <c:pt idx="0">
                  <c:v>13</c:v>
                </c:pt>
                <c:pt idx="1">
                  <c:v>4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2</c:v>
                </c:pt>
                <c:pt idx="6">
                  <c:v>14</c:v>
                </c:pt>
                <c:pt idx="7">
                  <c:v>13</c:v>
                </c:pt>
                <c:pt idx="8">
                  <c:v>7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2</c:v>
                </c:pt>
                <c:pt idx="13">
                  <c:v>4</c:v>
                </c:pt>
                <c:pt idx="14">
                  <c:v>0</c:v>
                </c:pt>
                <c:pt idx="15">
                  <c:v>2</c:v>
                </c:pt>
                <c:pt idx="16">
                  <c:v>7</c:v>
                </c:pt>
                <c:pt idx="17">
                  <c:v>1</c:v>
                </c:pt>
                <c:pt idx="18">
                  <c:v>1</c:v>
                </c:pt>
              </c:numCache>
            </c:numRef>
          </c:val>
        </c:ser>
        <c:gapWidth val="150"/>
        <c:overlap val="0"/>
        <c:axId val="21724529"/>
        <c:axId val="77582701"/>
      </c:barChart>
      <c:catAx>
        <c:axId val="2172452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582701"/>
        <c:crosses val="autoZero"/>
        <c:auto val="1"/>
        <c:lblAlgn val="ctr"/>
        <c:lblOffset val="100"/>
        <c:noMultiLvlLbl val="0"/>
      </c:catAx>
      <c:valAx>
        <c:axId val="775827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17245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Profil vs Moyenne Equipe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'FICHE JOUEUR'!$C$32</c:f>
              <c:strCache>
                <c:ptCount val="1"/>
                <c:pt idx="0">
                  <c:v>Joueur</c:v>
                </c:pt>
              </c:strCache>
            </c:strRef>
          </c:tx>
          <c:spPr>
            <a:solidFill>
              <a:srgbClr val="8c3836"/>
            </a:solidFill>
            <a:ln w="12600">
              <a:solidFill>
                <a:srgbClr val="ed2939"/>
              </a:solidFill>
              <a:round/>
            </a:ln>
          </c:spPr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ed293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'FICHE JOUEUR'!$B$33:$B$38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'FICHE JOUEUR'!$C$33:$C$38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29</c:v>
                </c:pt>
              </c:numCache>
            </c:numRef>
          </c:val>
        </c:ser>
        <c:ser>
          <c:idx val="1"/>
          <c:order val="1"/>
          <c:tx>
            <c:strRef>
              <c:f>'FICHE JOUEUR'!$D$32</c:f>
              <c:strCache>
                <c:ptCount val="1"/>
                <c:pt idx="0">
                  <c:v>Moy. Equipe</c:v>
                </c:pt>
              </c:strCache>
            </c:strRef>
          </c:tx>
          <c:spPr>
            <a:solidFill>
              <a:srgbClr val="a54342"/>
            </a:solidFill>
            <a:ln w="12600">
              <a:solidFill>
                <a:srgbClr val="4a90d9"/>
              </a:solidFill>
              <a:round/>
            </a:ln>
          </c:spPr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4a90d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'FICHE JOUEUR'!$B$33:$B$38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'FICHE JOUEUR'!$D$33:$D$38</c:f>
              <c:numCache>
                <c:formatCode>General</c:formatCode>
                <c:ptCount val="6"/>
                <c:pt idx="0">
                  <c:v>0.8</c:v>
                </c:pt>
                <c:pt idx="1">
                  <c:v>0.7</c:v>
                </c:pt>
                <c:pt idx="2">
                  <c:v>9.9</c:v>
                </c:pt>
                <c:pt idx="3">
                  <c:v>3.8</c:v>
                </c:pt>
                <c:pt idx="4">
                  <c:v>3.2</c:v>
                </c:pt>
                <c:pt idx="5">
                  <c:v>14.3</c:v>
                </c:pt>
              </c:numCache>
            </c:numRef>
          </c:val>
        </c:ser>
        <c:axId val="1355004"/>
        <c:axId val="61791715"/>
      </c:radarChart>
      <c:catAx>
        <c:axId val="1355004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1791715"/>
        <c:crosses val="autoZero"/>
        <c:auto val="1"/>
        <c:lblAlgn val="ctr"/>
        <c:lblOffset val="100"/>
        <c:noMultiLvlLbl val="0"/>
      </c:catAx>
      <c:valAx>
        <c:axId val="61791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55004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'FICHE JOUEUR'!$C$32</c:f>
              <c:strCache>
                <c:ptCount val="1"/>
                <c:pt idx="0">
                  <c:v>Joueur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'FICHE JOUEUR'!$B$33:$B$38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'FICHE JOUEUR'!$C$33:$C$38</c:f>
              <c:numCache>
                <c:formatCode>General</c:formatCode>
                <c:ptCount val="6"/>
                <c:pt idx="0">
                  <c:v>2</c:v>
                </c:pt>
                <c:pt idx="1">
                  <c:v>1</c:v>
                </c:pt>
                <c:pt idx="2">
                  <c:v>6</c:v>
                </c:pt>
                <c:pt idx="3">
                  <c:v>8</c:v>
                </c:pt>
                <c:pt idx="4">
                  <c:v>5</c:v>
                </c:pt>
                <c:pt idx="5">
                  <c:v>29</c:v>
                </c:pt>
              </c:numCache>
            </c:numRef>
          </c:val>
        </c:ser>
        <c:ser>
          <c:idx val="1"/>
          <c:order val="1"/>
          <c:tx>
            <c:strRef>
              <c:f>'FICHE JOUEUR'!$D$32</c:f>
              <c:strCache>
                <c:ptCount val="1"/>
                <c:pt idx="0">
                  <c:v>Moy. Equipe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General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'FICHE JOUEUR'!$B$33:$B$38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'FICHE JOUEUR'!$D$33:$D$38</c:f>
              <c:numCache>
                <c:formatCode>General</c:formatCode>
                <c:ptCount val="6"/>
                <c:pt idx="0">
                  <c:v>0.8</c:v>
                </c:pt>
                <c:pt idx="1">
                  <c:v>0.7</c:v>
                </c:pt>
                <c:pt idx="2">
                  <c:v>9.9</c:v>
                </c:pt>
                <c:pt idx="3">
                  <c:v>3.8</c:v>
                </c:pt>
                <c:pt idx="4">
                  <c:v>3.2</c:v>
                </c:pt>
                <c:pt idx="5">
                  <c:v>14.3</c:v>
                </c:pt>
              </c:numCache>
            </c:numRef>
          </c:val>
        </c:ser>
        <c:gapWidth val="100"/>
        <c:overlap val="0"/>
        <c:axId val="28200093"/>
        <c:axId val="4696043"/>
      </c:barChart>
      <c:catAx>
        <c:axId val="2820009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696043"/>
        <c:crosses val="autoZero"/>
        <c:auto val="1"/>
        <c:lblAlgn val="ctr"/>
        <c:lblOffset val="100"/>
        <c:noMultiLvlLbl val="0"/>
      </c:catAx>
      <c:valAx>
        <c:axId val="4696043"/>
        <c:scaling>
          <c:orientation val="minMax"/>
          <c:max val="30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8200093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Comparaison Radar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radarChart>
        <c:radarStyle val="filled"/>
        <c:varyColors val="0"/>
        <c:ser>
          <c:idx val="0"/>
          <c:order val="0"/>
          <c:tx>
            <c:strRef>
              <c:f>COMPARAISON!$U$48</c:f>
              <c:strCache>
                <c:ptCount val="1"/>
                <c:pt idx="0">
                  <c:v>O. KAMISSOKO</c:v>
                </c:pt>
              </c:strCache>
            </c:strRef>
          </c:tx>
          <c:spPr>
            <a:solidFill>
              <a:srgbClr val="ed2939"/>
            </a:solidFill>
            <a:ln w="12600">
              <a:solidFill>
                <a:srgbClr val="ed2939"/>
              </a:solidFill>
              <a:round/>
            </a:ln>
          </c:spPr>
          <c:dLbls>
            <c:numFmt formatCode="0.#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ed293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COMPARAISON!$T$49:$T$54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COMPARAISON!$U$49:$U$54</c:f>
              <c:numCache>
                <c:formatCode>0.#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COMPARAISON!$V$48</c:f>
              <c:strCache>
                <c:ptCount val="1"/>
                <c:pt idx="0">
                  <c:v>L. LADIRE</c:v>
                </c:pt>
              </c:strCache>
            </c:strRef>
          </c:tx>
          <c:spPr>
            <a:solidFill>
              <a:srgbClr val="4a90d9"/>
            </a:solidFill>
            <a:ln w="12600">
              <a:solidFill>
                <a:srgbClr val="4a90d9"/>
              </a:solidFill>
              <a:round/>
            </a:ln>
          </c:spPr>
          <c:dLbls>
            <c:numFmt formatCode="0.#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4a90d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COMPARAISON!$T$49:$T$54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COMPARAISON!$V$49:$V$54</c:f>
              <c:numCache>
                <c:formatCode>0.#</c:formatCode>
                <c:ptCount val="6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COMPARAISON!$W$48</c:f>
              <c:strCache>
                <c:ptCount val="1"/>
                <c:pt idx="0">
                  <c:v>K. DA ROCHA</c:v>
                </c:pt>
              </c:strCache>
            </c:strRef>
          </c:tx>
          <c:spPr>
            <a:solidFill>
              <a:srgbClr val="ffd320"/>
            </a:solidFill>
            <a:ln w="0">
              <a:solidFill>
                <a:srgbClr val="000000"/>
              </a:solidFill>
            </a:ln>
          </c:spPr>
          <c:dLbls>
            <c:numFmt formatCode="0.#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COMPARAISON!$T$49:$T$54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COMPARAISON!$W$49:$W$54</c:f>
              <c:numCache>
                <c:formatCode>0.#</c:formatCode>
                <c:ptCount val="6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axId val="75871630"/>
        <c:axId val="98174777"/>
      </c:radarChart>
      <c:catAx>
        <c:axId val="75871630"/>
        <c:scaling>
          <c:orientation val="maxMin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8174777"/>
        <c:crosses val="autoZero"/>
        <c:auto val="1"/>
        <c:lblAlgn val="ctr"/>
        <c:lblOffset val="100"/>
        <c:noMultiLvlLbl val="0"/>
      </c:catAx>
      <c:valAx>
        <c:axId val="981747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5871630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134774912359863"/>
          <c:y val="0.0528710193040698"/>
          <c:w val="0.731838533893305"/>
          <c:h val="0.88694208779048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COMPARAISON!$U$48</c:f>
              <c:strCache>
                <c:ptCount val="1"/>
                <c:pt idx="0">
                  <c:v>O. KAMISSOKO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numFmt formatCode="0.#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COMPARAISON!$T$49:$T$54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COMPARAISON!$U$49:$U$54</c:f>
              <c:numCache>
                <c:formatCode>0.#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8</c:v>
                </c:pt>
              </c:numCache>
            </c:numRef>
          </c:val>
        </c:ser>
        <c:ser>
          <c:idx val="1"/>
          <c:order val="1"/>
          <c:tx>
            <c:strRef>
              <c:f>COMPARAISON!$V$48</c:f>
              <c:strCache>
                <c:ptCount val="1"/>
                <c:pt idx="0">
                  <c:v>L. LADIRE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numFmt formatCode="0.#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COMPARAISON!$T$49:$T$54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COMPARAISON!$V$49:$V$54</c:f>
              <c:numCache>
                <c:formatCode>0.#</c:formatCode>
                <c:ptCount val="6"/>
                <c:pt idx="0">
                  <c:v>1</c:v>
                </c:pt>
                <c:pt idx="1">
                  <c:v>0</c:v>
                </c:pt>
                <c:pt idx="2">
                  <c:v>4</c:v>
                </c:pt>
                <c:pt idx="3">
                  <c:v>1</c:v>
                </c:pt>
                <c:pt idx="4">
                  <c:v>4</c:v>
                </c:pt>
                <c:pt idx="5">
                  <c:v>5</c:v>
                </c:pt>
              </c:numCache>
            </c:numRef>
          </c:val>
        </c:ser>
        <c:ser>
          <c:idx val="2"/>
          <c:order val="2"/>
          <c:tx>
            <c:strRef>
              <c:f>COMPARAISON!$W$48</c:f>
              <c:strCache>
                <c:ptCount val="1"/>
                <c:pt idx="0">
                  <c:v>K. DA ROCHA</c:v>
                </c:pt>
              </c:strCache>
            </c:strRef>
          </c:tx>
          <c:spPr>
            <a:solidFill>
              <a:srgbClr val="ffd320"/>
            </a:solidFill>
            <a:ln w="0">
              <a:noFill/>
            </a:ln>
          </c:spPr>
          <c:invertIfNegative val="0"/>
          <c:dLbls>
            <c:numFmt formatCode="0.#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COMPARAISON!$T$49:$T$54</c:f>
              <c:strCache>
                <c:ptCount val="6"/>
                <c:pt idx="0">
                  <c:v>Buts</c:v>
                </c:pt>
                <c:pt idx="1">
                  <c:v>PD</c:v>
                </c:pt>
                <c:pt idx="2">
                  <c:v>Tirs</c:v>
                </c:pt>
                <c:pt idx="3">
                  <c:v>Int.</c:v>
                </c:pt>
                <c:pt idx="4">
                  <c:v>Rec.</c:v>
                </c:pt>
                <c:pt idx="5">
                  <c:v>Pertes</c:v>
                </c:pt>
              </c:strCache>
            </c:strRef>
          </c:cat>
          <c:val>
            <c:numRef>
              <c:f>COMPARAISON!$W$49:$W$54</c:f>
              <c:numCache>
                <c:formatCode>0.#</c:formatCode>
                <c:ptCount val="6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</c:numCache>
            </c:numRef>
          </c:val>
        </c:ser>
        <c:gapWidth val="100"/>
        <c:overlap val="0"/>
        <c:axId val="93451023"/>
        <c:axId val="39822517"/>
      </c:barChart>
      <c:catAx>
        <c:axId val="934510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39822517"/>
        <c:crosses val="autoZero"/>
        <c:auto val="1"/>
        <c:lblAlgn val="ctr"/>
        <c:lblOffset val="100"/>
        <c:noMultiLvlLbl val="0"/>
      </c:catAx>
      <c:valAx>
        <c:axId val="3982251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3451023"/>
        <c:crossesAt val="1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Arrets vs Buts encaisses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GARDIENS!$E$5</c:f>
              <c:strCache>
                <c:ptCount val="1"/>
                <c:pt idx="0">
                  <c:v>Arrets</c:v>
                </c:pt>
              </c:strCache>
            </c:strRef>
          </c:tx>
          <c:spPr>
            <a:solidFill>
              <a:srgbClr val="002654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GARDIENS!$A$6:$A$10</c:f>
              <c:strCache>
                <c:ptCount val="5"/>
                <c:pt idx="0">
                  <c:v>M. VALVERDE</c:v>
                </c:pt>
                <c:pt idx="1">
                  <c:v>K. BOUREBAIA</c:v>
                </c:pt>
                <c:pt idx="2">
                  <c:v>S. DRAME</c:v>
                </c:pt>
                <c:pt idx="3">
                  <c:v>D. LEFOULON</c:v>
                </c:pt>
                <c:pt idx="4">
                  <c:v>J. LUMECA</c:v>
                </c:pt>
              </c:strCache>
            </c:strRef>
          </c:cat>
          <c:val>
            <c:numRef>
              <c:f>GARDIENS!$E$6:$E$10</c:f>
              <c:numCache>
                <c:formatCode>General</c:formatCode>
                <c:ptCount val="5"/>
                <c:pt idx="0">
                  <c:v>23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18</c:v>
                </c:pt>
              </c:numCache>
            </c:numRef>
          </c:val>
        </c:ser>
        <c:ser>
          <c:idx val="1"/>
          <c:order val="1"/>
          <c:tx>
            <c:strRef>
              <c:f>GARDIENS!$F$5</c:f>
              <c:strCache>
                <c:ptCount val="1"/>
                <c:pt idx="0">
                  <c:v>Buts enc.</c:v>
                </c:pt>
              </c:strCache>
            </c:strRef>
          </c:tx>
          <c:spPr>
            <a:solidFill>
              <a:srgbClr val="ed2939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GARDIENS!$A$6:$A$10</c:f>
              <c:strCache>
                <c:ptCount val="5"/>
                <c:pt idx="0">
                  <c:v>M. VALVERDE</c:v>
                </c:pt>
                <c:pt idx="1">
                  <c:v>K. BOUREBAIA</c:v>
                </c:pt>
                <c:pt idx="2">
                  <c:v>S. DRAME</c:v>
                </c:pt>
                <c:pt idx="3">
                  <c:v>D. LEFOULON</c:v>
                </c:pt>
                <c:pt idx="4">
                  <c:v>J. LUMECA</c:v>
                </c:pt>
              </c:strCache>
            </c:strRef>
          </c:cat>
          <c:val>
            <c:numRef>
              <c:f>GARDIENS!$F$6:$F$10</c:f>
              <c:numCache>
                <c:formatCode>General</c:formatCode>
                <c:ptCount val="5"/>
                <c:pt idx="0">
                  <c:v>7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</c:ser>
        <c:gapWidth val="150"/>
        <c:overlap val="0"/>
        <c:axId val="85698497"/>
        <c:axId val="47683007"/>
      </c:barChart>
      <c:catAx>
        <c:axId val="856984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7683007"/>
        <c:crosses val="autoZero"/>
        <c:auto val="1"/>
        <c:lblAlgn val="ctr"/>
        <c:lblOffset val="100"/>
        <c:noMultiLvlLbl val="0"/>
      </c:catAx>
      <c:valAx>
        <c:axId val="476830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69849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0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13</xdr:col>
      <xdr:colOff>36000</xdr:colOff>
      <xdr:row>51</xdr:row>
      <xdr:rowOff>83520</xdr:rowOff>
    </xdr:to>
    <xdr:graphicFrame>
      <xdr:nvGraphicFramePr>
        <xdr:cNvPr id="1" name="Chart 1"/>
        <xdr:cNvGraphicFramePr/>
      </xdr:nvGraphicFramePr>
      <xdr:xfrm>
        <a:off x="0" y="4876920"/>
        <a:ext cx="10090440" cy="50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11880</xdr:colOff>
      <xdr:row>51</xdr:row>
      <xdr:rowOff>127080</xdr:rowOff>
    </xdr:from>
    <xdr:to>
      <xdr:col>13</xdr:col>
      <xdr:colOff>47880</xdr:colOff>
      <xdr:row>78</xdr:row>
      <xdr:rowOff>20520</xdr:rowOff>
    </xdr:to>
    <xdr:graphicFrame>
      <xdr:nvGraphicFramePr>
        <xdr:cNvPr id="2" name="Chart 2"/>
        <xdr:cNvGraphicFramePr/>
      </xdr:nvGraphicFramePr>
      <xdr:xfrm>
        <a:off x="11880" y="9956880"/>
        <a:ext cx="10090440" cy="50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13</xdr:col>
      <xdr:colOff>506880</xdr:colOff>
      <xdr:row>24</xdr:row>
      <xdr:rowOff>167400</xdr:rowOff>
    </xdr:from>
    <xdr:to>
      <xdr:col>27</xdr:col>
      <xdr:colOff>86040</xdr:colOff>
      <xdr:row>51</xdr:row>
      <xdr:rowOff>60480</xdr:rowOff>
    </xdr:to>
    <xdr:graphicFrame>
      <xdr:nvGraphicFramePr>
        <xdr:cNvPr id="3" name="Chart 3"/>
        <xdr:cNvGraphicFramePr/>
      </xdr:nvGraphicFramePr>
      <xdr:xfrm>
        <a:off x="10561320" y="4853880"/>
        <a:ext cx="10082160" cy="50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79</xdr:row>
      <xdr:rowOff>11160</xdr:rowOff>
    </xdr:from>
    <xdr:to>
      <xdr:col>13</xdr:col>
      <xdr:colOff>36000</xdr:colOff>
      <xdr:row>105</xdr:row>
      <xdr:rowOff>94680</xdr:rowOff>
    </xdr:to>
    <xdr:graphicFrame>
      <xdr:nvGraphicFramePr>
        <xdr:cNvPr id="4" name="Chart 4"/>
        <xdr:cNvGraphicFramePr/>
      </xdr:nvGraphicFramePr>
      <xdr:xfrm>
        <a:off x="0" y="15175080"/>
        <a:ext cx="10090440" cy="503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504000</xdr:colOff>
      <xdr:row>52</xdr:row>
      <xdr:rowOff>67320</xdr:rowOff>
    </xdr:from>
    <xdr:to>
      <xdr:col>27</xdr:col>
      <xdr:colOff>83160</xdr:colOff>
      <xdr:row>78</xdr:row>
      <xdr:rowOff>151200</xdr:rowOff>
    </xdr:to>
    <xdr:graphicFrame>
      <xdr:nvGraphicFramePr>
        <xdr:cNvPr id="5" name="Chart 5"/>
        <xdr:cNvGraphicFramePr/>
      </xdr:nvGraphicFramePr>
      <xdr:xfrm>
        <a:off x="10558440" y="10087560"/>
        <a:ext cx="10082160" cy="503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122400</xdr:colOff>
      <xdr:row>34</xdr:row>
      <xdr:rowOff>105840</xdr:rowOff>
    </xdr:from>
    <xdr:to>
      <xdr:col>10</xdr:col>
      <xdr:colOff>945000</xdr:colOff>
      <xdr:row>59</xdr:row>
      <xdr:rowOff>20160</xdr:rowOff>
    </xdr:to>
    <xdr:graphicFrame>
      <xdr:nvGraphicFramePr>
        <xdr:cNvPr id="6" name="Chart 1"/>
        <xdr:cNvGraphicFramePr/>
      </xdr:nvGraphicFramePr>
      <xdr:xfrm>
        <a:off x="5374440" y="6611400"/>
        <a:ext cx="5756760" cy="467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561240</xdr:colOff>
      <xdr:row>3</xdr:row>
      <xdr:rowOff>182880</xdr:rowOff>
    </xdr:from>
    <xdr:to>
      <xdr:col>12</xdr:col>
      <xdr:colOff>520560</xdr:colOff>
      <xdr:row>26</xdr:row>
      <xdr:rowOff>188280</xdr:rowOff>
    </xdr:to>
    <xdr:graphicFrame>
      <xdr:nvGraphicFramePr>
        <xdr:cNvPr id="7" name="Chart 2"/>
        <xdr:cNvGraphicFramePr/>
      </xdr:nvGraphicFramePr>
      <xdr:xfrm>
        <a:off x="4826520" y="754560"/>
        <a:ext cx="7853760" cy="441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11160</xdr:colOff>
      <xdr:row>42</xdr:row>
      <xdr:rowOff>42120</xdr:rowOff>
    </xdr:from>
    <xdr:to>
      <xdr:col>14</xdr:col>
      <xdr:colOff>947880</xdr:colOff>
      <xdr:row>68</xdr:row>
      <xdr:rowOff>126000</xdr:rowOff>
    </xdr:to>
    <xdr:graphicFrame>
      <xdr:nvGraphicFramePr>
        <xdr:cNvPr id="8" name="Chart 1"/>
        <xdr:cNvGraphicFramePr/>
      </xdr:nvGraphicFramePr>
      <xdr:xfrm>
        <a:off x="13860360" y="8445240"/>
        <a:ext cx="6476760" cy="5036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227160</xdr:colOff>
      <xdr:row>39</xdr:row>
      <xdr:rowOff>84600</xdr:rowOff>
    </xdr:from>
    <xdr:to>
      <xdr:col>7</xdr:col>
      <xdr:colOff>904320</xdr:colOff>
      <xdr:row>70</xdr:row>
      <xdr:rowOff>34560</xdr:rowOff>
    </xdr:to>
    <xdr:graphicFrame>
      <xdr:nvGraphicFramePr>
        <xdr:cNvPr id="9" name="Chart 2"/>
        <xdr:cNvGraphicFramePr/>
      </xdr:nvGraphicFramePr>
      <xdr:xfrm>
        <a:off x="227160" y="7916040"/>
        <a:ext cx="10371600" cy="5855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23</xdr:row>
      <xdr:rowOff>0</xdr:rowOff>
    </xdr:from>
    <xdr:to>
      <xdr:col>9</xdr:col>
      <xdr:colOff>430200</xdr:colOff>
      <xdr:row>45</xdr:row>
      <xdr:rowOff>125640</xdr:rowOff>
    </xdr:to>
    <xdr:graphicFrame>
      <xdr:nvGraphicFramePr>
        <xdr:cNvPr id="10" name="Chart 1"/>
        <xdr:cNvGraphicFramePr/>
      </xdr:nvGraphicFramePr>
      <xdr:xfrm>
        <a:off x="0" y="4400640"/>
        <a:ext cx="7196760" cy="4316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Feuilles_a_remplacer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VAL_MATCH"/>
      <sheetName val="CALCUL_NOTE"/>
      <sheetName val="NOTES"/>
    </sheetNames>
    <sheetDataSet>
      <sheetData sheetId="0"/>
      <sheetData sheetId="1">
        <row r="3">
          <cell r="E3">
            <v>3</v>
          </cell>
        </row>
        <row r="3">
          <cell r="H3">
            <v>1.5</v>
          </cell>
        </row>
        <row r="3">
          <cell r="K3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654"/>
    <pageSetUpPr fitToPage="false"/>
  </sheetPr>
  <dimension ref="A1:O22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B6" activeCellId="1" sqref="K3:M3 B6"/>
    </sheetView>
  </sheetViews>
  <sheetFormatPr defaultColWidth="8.6796875" defaultRowHeight="15" customHeight="false" zeroHeight="false" outlineLevelRow="0" outlineLevelCol="0"/>
  <cols>
    <col collapsed="false" customWidth="true" hidden="false" outlineLevel="0" max="15" min="1" style="1" width="15"/>
    <col collapsed="false" customWidth="false" hidden="false" outlineLevel="0" max="16384" min="16" style="1" width="8.68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15" hidden="false" customHeight="tru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5" customFormat="false" ht="15" hidden="false" customHeight="true" outlineLevel="0" collapsed="false">
      <c r="B5" s="4" t="s">
        <v>1</v>
      </c>
      <c r="D5" s="4" t="s">
        <v>2</v>
      </c>
      <c r="F5" s="4" t="s">
        <v>3</v>
      </c>
      <c r="H5" s="4" t="s">
        <v>4</v>
      </c>
      <c r="J5" s="4" t="s">
        <v>5</v>
      </c>
      <c r="L5" s="4" t="s">
        <v>6</v>
      </c>
      <c r="N5" s="4" t="s">
        <v>7</v>
      </c>
    </row>
    <row r="6" customFormat="false" ht="45" hidden="false" customHeight="true" outlineLevel="0" collapsed="false">
      <c r="B6" s="5" t="n">
        <v>4</v>
      </c>
      <c r="D6" s="6" t="n">
        <v>1</v>
      </c>
      <c r="F6" s="5" t="n">
        <v>1</v>
      </c>
      <c r="H6" s="7" t="n">
        <v>2</v>
      </c>
      <c r="J6" s="5" t="n">
        <v>15</v>
      </c>
      <c r="L6" s="5" t="n">
        <v>18</v>
      </c>
      <c r="N6" s="5" t="s">
        <v>8</v>
      </c>
    </row>
    <row r="9" customFormat="false" ht="15.75" hidden="false" customHeight="true" outlineLevel="0" collapsed="false">
      <c r="B9" s="8" t="s">
        <v>9</v>
      </c>
      <c r="C9" s="8"/>
      <c r="D9" s="8"/>
      <c r="E9" s="8"/>
      <c r="F9" s="8"/>
      <c r="G9" s="8"/>
      <c r="H9" s="8"/>
    </row>
    <row r="10" customFormat="false" ht="15" hidden="false" customHeight="true" outlineLevel="0" collapsed="false"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J10" s="9" t="s">
        <v>17</v>
      </c>
      <c r="K10" s="9" t="s">
        <v>18</v>
      </c>
      <c r="M10" s="10" t="s">
        <v>19</v>
      </c>
      <c r="N10" s="10" t="s">
        <v>20</v>
      </c>
    </row>
    <row r="11" customFormat="false" ht="15" hidden="false" customHeight="true" outlineLevel="0" collapsed="false">
      <c r="B11" s="11" t="s">
        <v>21</v>
      </c>
      <c r="C11" s="11" t="s">
        <v>22</v>
      </c>
      <c r="D11" s="11" t="s">
        <v>22</v>
      </c>
      <c r="E11" s="11" t="n">
        <v>5</v>
      </c>
      <c r="F11" s="11" t="n">
        <v>3</v>
      </c>
      <c r="G11" s="12" t="s">
        <v>23</v>
      </c>
      <c r="H11" s="11" t="n">
        <v>2</v>
      </c>
      <c r="J11" s="13" t="s">
        <v>24</v>
      </c>
      <c r="K11" s="11" t="n">
        <v>3</v>
      </c>
      <c r="M11" s="13" t="s">
        <v>25</v>
      </c>
      <c r="N11" s="11" t="n">
        <v>3</v>
      </c>
    </row>
    <row r="12" customFormat="false" ht="22.5" hidden="false" customHeight="true" outlineLevel="0" collapsed="false">
      <c r="B12" s="14" t="s">
        <v>21</v>
      </c>
      <c r="C12" s="11" t="s">
        <v>22</v>
      </c>
      <c r="D12" s="14" t="s">
        <v>22</v>
      </c>
      <c r="E12" s="14" t="n">
        <v>3</v>
      </c>
      <c r="F12" s="14" t="n">
        <v>3</v>
      </c>
      <c r="G12" s="14" t="s">
        <v>26</v>
      </c>
      <c r="H12" s="14" t="n">
        <v>0</v>
      </c>
      <c r="J12" s="15" t="s">
        <v>27</v>
      </c>
      <c r="K12" s="14" t="n">
        <v>3</v>
      </c>
      <c r="M12" s="15" t="s">
        <v>28</v>
      </c>
      <c r="N12" s="14" t="n">
        <v>2</v>
      </c>
    </row>
    <row r="13" customFormat="false" ht="15" hidden="false" customHeight="true" outlineLevel="0" collapsed="false">
      <c r="B13" s="11" t="s">
        <v>29</v>
      </c>
      <c r="C13" s="14" t="s">
        <v>30</v>
      </c>
      <c r="D13" s="11" t="s">
        <v>31</v>
      </c>
      <c r="E13" s="11" t="n">
        <v>4</v>
      </c>
      <c r="F13" s="11" t="n">
        <v>6</v>
      </c>
      <c r="G13" s="16" t="s">
        <v>32</v>
      </c>
      <c r="H13" s="11" t="n">
        <v>-2</v>
      </c>
      <c r="J13" s="13" t="s">
        <v>33</v>
      </c>
      <c r="K13" s="11" t="n">
        <v>2</v>
      </c>
      <c r="M13" s="13" t="s">
        <v>34</v>
      </c>
      <c r="N13" s="11" t="n">
        <v>2</v>
      </c>
    </row>
    <row r="14" customFormat="false" ht="15" hidden="false" customHeight="true" outlineLevel="0" collapsed="false">
      <c r="B14" s="14" t="s">
        <v>29</v>
      </c>
      <c r="C14" s="14" t="s">
        <v>30</v>
      </c>
      <c r="D14" s="14" t="s">
        <v>31</v>
      </c>
      <c r="E14" s="14" t="n">
        <v>3</v>
      </c>
      <c r="F14" s="14" t="n">
        <v>6</v>
      </c>
      <c r="G14" s="17" t="s">
        <v>32</v>
      </c>
      <c r="H14" s="14" t="n">
        <v>-3</v>
      </c>
      <c r="J14" s="15" t="s">
        <v>35</v>
      </c>
      <c r="K14" s="14" t="n">
        <v>2</v>
      </c>
      <c r="M14" s="15" t="s">
        <v>24</v>
      </c>
      <c r="N14" s="14" t="n">
        <v>1</v>
      </c>
    </row>
    <row r="15" customFormat="false" ht="15" hidden="false" customHeight="true" outlineLevel="0" collapsed="false">
      <c r="J15" s="13" t="s">
        <v>28</v>
      </c>
      <c r="K15" s="11" t="n">
        <v>1</v>
      </c>
      <c r="M15" s="13" t="s">
        <v>33</v>
      </c>
      <c r="N15" s="11" t="n">
        <v>1</v>
      </c>
    </row>
    <row r="17" customFormat="false" ht="15" hidden="false" customHeight="true" outlineLevel="0" collapsed="false">
      <c r="J17" s="18" t="s">
        <v>36</v>
      </c>
      <c r="K17" s="18" t="s">
        <v>37</v>
      </c>
      <c r="M17" s="18" t="s">
        <v>38</v>
      </c>
      <c r="N17" s="18" t="s">
        <v>39</v>
      </c>
    </row>
    <row r="18" customFormat="false" ht="15" hidden="false" customHeight="true" outlineLevel="0" collapsed="false">
      <c r="J18" s="13" t="s">
        <v>25</v>
      </c>
      <c r="K18" s="11" t="n">
        <v>29</v>
      </c>
      <c r="M18" s="13" t="s">
        <v>24</v>
      </c>
      <c r="N18" s="11" t="n">
        <v>23</v>
      </c>
    </row>
    <row r="19" customFormat="false" ht="23.25" hidden="false" customHeight="true" outlineLevel="0" collapsed="false">
      <c r="J19" s="15" t="s">
        <v>27</v>
      </c>
      <c r="K19" s="14" t="n">
        <v>22</v>
      </c>
      <c r="M19" s="15" t="s">
        <v>40</v>
      </c>
      <c r="N19" s="14" t="n">
        <v>15</v>
      </c>
    </row>
    <row r="20" customFormat="false" ht="15" hidden="false" customHeight="true" outlineLevel="0" collapsed="false">
      <c r="J20" s="13" t="s">
        <v>24</v>
      </c>
      <c r="K20" s="11" t="n">
        <v>21</v>
      </c>
      <c r="M20" s="13" t="s">
        <v>33</v>
      </c>
      <c r="N20" s="11" t="n">
        <v>13</v>
      </c>
    </row>
    <row r="21" customFormat="false" ht="15" hidden="false" customHeight="true" outlineLevel="0" collapsed="false">
      <c r="J21" s="15" t="s">
        <v>35</v>
      </c>
      <c r="K21" s="14" t="n">
        <v>20</v>
      </c>
      <c r="M21" s="15" t="s">
        <v>25</v>
      </c>
      <c r="N21" s="14" t="n">
        <v>13</v>
      </c>
    </row>
    <row r="22" customFormat="false" ht="15" hidden="false" customHeight="true" outlineLevel="0" collapsed="false">
      <c r="J22" s="13" t="s">
        <v>28</v>
      </c>
      <c r="K22" s="11" t="n">
        <v>19</v>
      </c>
      <c r="M22" s="13" t="s">
        <v>28</v>
      </c>
      <c r="N22" s="11" t="n">
        <v>12</v>
      </c>
    </row>
  </sheetData>
  <mergeCells count="2">
    <mergeCell ref="A1:O2"/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D8" activeCellId="1" sqref="K3:M3 D8"/>
    </sheetView>
  </sheetViews>
  <sheetFormatPr defaultColWidth="11.53515625" defaultRowHeight="13.5" customHeight="false" zeroHeight="false" outlineLevelRow="0" outlineLevelCol="0"/>
  <cols>
    <col collapsed="false" customWidth="true" hidden="false" outlineLevel="0" max="1" min="1" style="1" width="27.7"/>
    <col collapsed="false" customWidth="true" hidden="false" outlineLevel="0" max="2" min="2" style="1" width="35.77"/>
  </cols>
  <sheetData>
    <row r="1" s="20" customFormat="true" ht="20.25" hidden="false" customHeight="true" outlineLevel="0" collapsed="false">
      <c r="A1" s="19" t="s">
        <v>41</v>
      </c>
      <c r="B1" s="19" t="s">
        <v>42</v>
      </c>
    </row>
    <row r="2" s="20" customFormat="true" ht="20.25" hidden="false" customHeight="true" outlineLevel="0" collapsed="false">
      <c r="A2" s="21" t="s">
        <v>43</v>
      </c>
      <c r="B2" s="22" t="s">
        <v>44</v>
      </c>
    </row>
    <row r="3" s="20" customFormat="true" ht="20.25" hidden="false" customHeight="true" outlineLevel="0" collapsed="false">
      <c r="A3" s="21" t="s">
        <v>45</v>
      </c>
      <c r="B3" s="22" t="s">
        <v>46</v>
      </c>
    </row>
    <row r="4" s="20" customFormat="true" ht="20.25" hidden="false" customHeight="true" outlineLevel="0" collapsed="false">
      <c r="A4" s="21" t="s">
        <v>20</v>
      </c>
      <c r="B4" s="22" t="s">
        <v>47</v>
      </c>
    </row>
    <row r="5" s="20" customFormat="true" ht="20.25" hidden="false" customHeight="true" outlineLevel="0" collapsed="false">
      <c r="A5" s="21" t="s">
        <v>48</v>
      </c>
      <c r="B5" s="22" t="s">
        <v>49</v>
      </c>
    </row>
    <row r="6" s="20" customFormat="true" ht="20.25" hidden="false" customHeight="true" outlineLevel="0" collapsed="false">
      <c r="A6" s="21" t="s">
        <v>50</v>
      </c>
      <c r="B6" s="22" t="s">
        <v>51</v>
      </c>
    </row>
    <row r="7" s="20" customFormat="true" ht="20.25" hidden="false" customHeight="true" outlineLevel="0" collapsed="false">
      <c r="A7" s="21" t="s">
        <v>52</v>
      </c>
      <c r="B7" s="22" t="s">
        <v>53</v>
      </c>
    </row>
    <row r="8" s="20" customFormat="true" ht="20.25" hidden="false" customHeight="true" outlineLevel="0" collapsed="false">
      <c r="A8" s="21" t="s">
        <v>54</v>
      </c>
      <c r="B8" s="22" t="s">
        <v>55</v>
      </c>
    </row>
    <row r="9" s="20" customFormat="true" ht="20.25" hidden="false" customHeight="true" outlineLevel="0" collapsed="false">
      <c r="A9" s="21" t="s">
        <v>56</v>
      </c>
      <c r="B9" s="22" t="s">
        <v>57</v>
      </c>
    </row>
    <row r="10" s="20" customFormat="true" ht="20.25" hidden="false" customHeight="true" outlineLevel="0" collapsed="false">
      <c r="A10" s="21" t="s">
        <v>58</v>
      </c>
      <c r="B10" s="22" t="s">
        <v>59</v>
      </c>
    </row>
    <row r="11" s="20" customFormat="true" ht="20.25" hidden="false" customHeight="true" outlineLevel="0" collapsed="false">
      <c r="A11" s="21" t="s">
        <v>60</v>
      </c>
      <c r="B11" s="22" t="s">
        <v>61</v>
      </c>
    </row>
    <row r="12" customFormat="false" ht="20.25" hidden="false" customHeight="true" outlineLevel="0" collapsed="false">
      <c r="A12" s="21" t="s">
        <v>62</v>
      </c>
      <c r="B12" s="22" t="s">
        <v>63</v>
      </c>
    </row>
    <row r="13" customFormat="false" ht="20.25" hidden="false" customHeight="true" outlineLevel="0" collapsed="false">
      <c r="A13" s="21" t="s">
        <v>64</v>
      </c>
      <c r="B13" s="22" t="s">
        <v>65</v>
      </c>
    </row>
    <row r="14" customFormat="false" ht="20.25" hidden="false" customHeight="true" outlineLevel="0" collapsed="false">
      <c r="A14" s="21" t="s">
        <v>66</v>
      </c>
      <c r="B14" s="22" t="s">
        <v>67</v>
      </c>
    </row>
    <row r="15" customFormat="false" ht="20.25" hidden="false" customHeight="true" outlineLevel="0" collapsed="false">
      <c r="A15" s="21" t="s">
        <v>68</v>
      </c>
      <c r="B15" s="22" t="s">
        <v>69</v>
      </c>
    </row>
    <row r="16" customFormat="false" ht="20.25" hidden="false" customHeight="true" outlineLevel="0" collapsed="false">
      <c r="A16" s="21" t="s">
        <v>70</v>
      </c>
      <c r="B16" s="22" t="s">
        <v>71</v>
      </c>
    </row>
    <row r="17" customFormat="false" ht="20.25" hidden="false" customHeight="true" outlineLevel="0" collapsed="false">
      <c r="A17" s="21" t="s">
        <v>72</v>
      </c>
      <c r="B17" s="22" t="s">
        <v>73</v>
      </c>
    </row>
    <row r="18" customFormat="false" ht="20.25" hidden="false" customHeight="true" outlineLevel="0" collapsed="false">
      <c r="A18" s="21" t="s">
        <v>74</v>
      </c>
      <c r="B18" s="22" t="s">
        <v>75</v>
      </c>
    </row>
    <row r="19" customFormat="false" ht="20.25" hidden="false" customHeight="true" outlineLevel="0" collapsed="false">
      <c r="A19" s="21" t="s">
        <v>76</v>
      </c>
      <c r="B19" s="22" t="s">
        <v>77</v>
      </c>
    </row>
    <row r="20" customFormat="false" ht="20.25" hidden="false" customHeight="true" outlineLevel="0" collapsed="false">
      <c r="A20" s="21" t="s">
        <v>78</v>
      </c>
      <c r="B20" s="22" t="s">
        <v>79</v>
      </c>
    </row>
    <row r="21" customFormat="false" ht="20.25" hidden="false" customHeight="true" outlineLevel="0" collapsed="false">
      <c r="A21" s="21" t="s">
        <v>80</v>
      </c>
      <c r="B21" s="22" t="s">
        <v>81</v>
      </c>
    </row>
    <row r="22" customFormat="false" ht="20.25" hidden="false" customHeight="true" outlineLevel="0" collapsed="false">
      <c r="A22" s="21" t="s">
        <v>82</v>
      </c>
      <c r="B22" s="22" t="s">
        <v>83</v>
      </c>
    </row>
    <row r="23" customFormat="false" ht="20.25" hidden="false" customHeight="true" outlineLevel="0" collapsed="false">
      <c r="A23" s="21" t="s">
        <v>84</v>
      </c>
      <c r="B23" s="22" t="s">
        <v>85</v>
      </c>
    </row>
    <row r="24" customFormat="false" ht="20.25" hidden="false" customHeight="true" outlineLevel="0" collapsed="false">
      <c r="A24" s="21" t="s">
        <v>86</v>
      </c>
      <c r="B24" s="22" t="s">
        <v>87</v>
      </c>
    </row>
    <row r="25" customFormat="false" ht="20.25" hidden="false" customHeight="true" outlineLevel="0" collapsed="false">
      <c r="A25" s="21" t="s">
        <v>88</v>
      </c>
      <c r="B25" s="22" t="s">
        <v>89</v>
      </c>
    </row>
    <row r="26" customFormat="false" ht="20.25" hidden="false" customHeight="true" outlineLevel="0" collapsed="false">
      <c r="A26" s="21" t="s">
        <v>90</v>
      </c>
      <c r="B26" s="22" t="s">
        <v>91</v>
      </c>
    </row>
    <row r="27" customFormat="false" ht="20.25" hidden="false" customHeight="true" outlineLevel="0" collapsed="false">
      <c r="A27" s="21" t="s">
        <v>92</v>
      </c>
      <c r="B27" s="22" t="s">
        <v>93</v>
      </c>
    </row>
    <row r="28" customFormat="false" ht="20.25" hidden="false" customHeight="true" outlineLevel="0" collapsed="false">
      <c r="A28" s="21" t="s">
        <v>94</v>
      </c>
      <c r="B28" s="22" t="s">
        <v>95</v>
      </c>
    </row>
    <row r="29" customFormat="false" ht="20.25" hidden="false" customHeight="true" outlineLevel="0" collapsed="false">
      <c r="A29" s="21" t="s">
        <v>96</v>
      </c>
      <c r="B29" s="22" t="s">
        <v>97</v>
      </c>
    </row>
    <row r="30" customFormat="false" ht="20.25" hidden="false" customHeight="true" outlineLevel="0" collapsed="false">
      <c r="A30" s="21" t="s">
        <v>98</v>
      </c>
      <c r="B30" s="22" t="s">
        <v>99</v>
      </c>
    </row>
    <row r="31" customFormat="false" ht="20.25" hidden="false" customHeight="true" outlineLevel="0" collapsed="false">
      <c r="A31" s="21" t="s">
        <v>13</v>
      </c>
      <c r="B31" s="22" t="s">
        <v>31</v>
      </c>
    </row>
    <row r="32" customFormat="false" ht="20.25" hidden="false" customHeight="true" outlineLevel="0" collapsed="false">
      <c r="A32" s="21" t="s">
        <v>14</v>
      </c>
      <c r="B32" s="22" t="s">
        <v>11</v>
      </c>
    </row>
    <row r="33" customFormat="false" ht="20.25" hidden="false" customHeight="true" outlineLevel="0" collapsed="false">
      <c r="A33" s="21" t="s">
        <v>7</v>
      </c>
      <c r="B33" s="22" t="s">
        <v>100</v>
      </c>
    </row>
    <row r="34" customFormat="false" ht="20.25" hidden="false" customHeight="true" outlineLevel="0" collapsed="false">
      <c r="A34" s="21" t="s">
        <v>101</v>
      </c>
      <c r="B34" s="22" t="s">
        <v>102</v>
      </c>
    </row>
    <row r="35" customFormat="false" ht="20.25" hidden="false" customHeight="true" outlineLevel="0" collapsed="false">
      <c r="A35" s="21" t="s">
        <v>103</v>
      </c>
      <c r="B35" s="22" t="s">
        <v>104</v>
      </c>
    </row>
    <row r="36" customFormat="false" ht="20.25" hidden="false" customHeight="true" outlineLevel="0" collapsed="false">
      <c r="A36" s="21" t="s">
        <v>105</v>
      </c>
      <c r="B36" s="22" t="s">
        <v>106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 &amp;Kffffff&amp;A</oddHeader>
    <oddFooter>&amp;C&amp;"Times New Roman,Normal"&amp;12 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90D9"/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pane xSplit="0" ySplit="4" topLeftCell="A5" activePane="bottomLeft" state="frozen"/>
      <selection pane="topLeft" activeCell="A1" activeCellId="0" sqref="A1"/>
      <selection pane="bottomLeft" activeCell="A9" activeCellId="1" sqref="K3:M3 A9"/>
    </sheetView>
  </sheetViews>
  <sheetFormatPr defaultColWidth="10.23828125" defaultRowHeight="15" customHeight="false" zeroHeight="false" outlineLevelRow="0" outlineLevelCol="0"/>
  <cols>
    <col collapsed="false" customWidth="true" hidden="false" outlineLevel="0" max="1" min="1" style="23" width="17.59"/>
    <col collapsed="false" customWidth="false" hidden="false" outlineLevel="0" max="2" min="2" style="23" width="10.25"/>
    <col collapsed="false" customWidth="true" hidden="false" outlineLevel="0" max="3" min="3" style="23" width="12.29"/>
    <col collapsed="false" customWidth="false" hidden="false" outlineLevel="0" max="17" min="4" style="23" width="10.25"/>
    <col collapsed="false" customWidth="true" hidden="false" outlineLevel="0" max="18" min="18" style="23" width="11.34"/>
    <col collapsed="false" customWidth="true" hidden="false" outlineLevel="0" max="19" min="19" style="23" width="13.34"/>
    <col collapsed="false" customWidth="true" hidden="false" outlineLevel="0" max="20" min="20" style="23" width="11.68"/>
  </cols>
  <sheetData>
    <row r="1" customFormat="false" ht="15" hidden="false" customHeight="true" outlineLevel="0" collapsed="false">
      <c r="A1" s="24" t="s">
        <v>107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</row>
    <row r="2" customFormat="false" ht="15" hidden="false" customHeight="true" outlineLevel="0" collapsed="false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customFormat="false" ht="15" hidden="false" customHeight="tru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</row>
    <row r="4" customFormat="false" ht="15" hidden="false" customHeight="true" outlineLevel="0" collapsed="false">
      <c r="A4" s="26" t="s">
        <v>108</v>
      </c>
      <c r="B4" s="26" t="s">
        <v>43</v>
      </c>
      <c r="C4" s="26" t="s">
        <v>109</v>
      </c>
      <c r="D4" s="26" t="s">
        <v>110</v>
      </c>
      <c r="E4" s="26" t="s">
        <v>45</v>
      </c>
      <c r="F4" s="26" t="s">
        <v>18</v>
      </c>
      <c r="G4" s="26" t="s">
        <v>20</v>
      </c>
      <c r="H4" s="26" t="s">
        <v>48</v>
      </c>
      <c r="I4" s="26" t="s">
        <v>37</v>
      </c>
      <c r="J4" s="26" t="s">
        <v>50</v>
      </c>
      <c r="K4" s="26" t="s">
        <v>52</v>
      </c>
      <c r="L4" s="26" t="s">
        <v>54</v>
      </c>
      <c r="M4" s="26" t="s">
        <v>56</v>
      </c>
      <c r="N4" s="26" t="s">
        <v>111</v>
      </c>
      <c r="O4" s="26" t="s">
        <v>58</v>
      </c>
      <c r="P4" s="26" t="s">
        <v>60</v>
      </c>
      <c r="Q4" s="26" t="s">
        <v>62</v>
      </c>
      <c r="R4" s="26" t="s">
        <v>64</v>
      </c>
      <c r="S4" s="26" t="s">
        <v>66</v>
      </c>
      <c r="T4" s="26" t="s">
        <v>68</v>
      </c>
    </row>
    <row r="5" customFormat="false" ht="15" hidden="false" customHeight="true" outlineLevel="0" collapsed="false">
      <c r="A5" s="27" t="s">
        <v>24</v>
      </c>
      <c r="B5" s="28" t="n">
        <v>8</v>
      </c>
      <c r="C5" s="28" t="s">
        <v>112</v>
      </c>
      <c r="D5" s="28" t="n">
        <v>4</v>
      </c>
      <c r="E5" s="28" t="n">
        <v>64.1</v>
      </c>
      <c r="F5" s="28" t="n">
        <v>3</v>
      </c>
      <c r="G5" s="28" t="n">
        <v>1</v>
      </c>
      <c r="H5" s="28" t="n">
        <v>4</v>
      </c>
      <c r="I5" s="28" t="n">
        <v>21</v>
      </c>
      <c r="J5" s="28" t="n">
        <v>12</v>
      </c>
      <c r="K5" s="29" t="n">
        <v>0.571428571428571</v>
      </c>
      <c r="L5" s="28" t="n">
        <v>12</v>
      </c>
      <c r="M5" s="28" t="n">
        <v>11</v>
      </c>
      <c r="N5" s="28" t="n">
        <v>30</v>
      </c>
      <c r="O5" s="28" t="n">
        <v>8</v>
      </c>
      <c r="P5" s="28" t="n">
        <v>13</v>
      </c>
      <c r="Q5" s="29" t="n">
        <v>0.615384615384615</v>
      </c>
      <c r="R5" s="28" t="n">
        <v>4</v>
      </c>
      <c r="S5" s="28" t="n">
        <v>6</v>
      </c>
      <c r="T5" s="29" t="n">
        <v>0.666666666666667</v>
      </c>
    </row>
    <row r="6" customFormat="false" ht="15" hidden="false" customHeight="true" outlineLevel="0" collapsed="false">
      <c r="A6" s="30" t="s">
        <v>28</v>
      </c>
      <c r="B6" s="31" t="n">
        <v>3</v>
      </c>
      <c r="C6" s="31" t="s">
        <v>112</v>
      </c>
      <c r="D6" s="31" t="n">
        <v>4</v>
      </c>
      <c r="E6" s="31" t="n">
        <v>41.7</v>
      </c>
      <c r="F6" s="31" t="n">
        <v>1</v>
      </c>
      <c r="G6" s="31" t="n">
        <v>2</v>
      </c>
      <c r="H6" s="31" t="n">
        <v>3</v>
      </c>
      <c r="I6" s="31" t="n">
        <v>19</v>
      </c>
      <c r="J6" s="31" t="n">
        <v>7</v>
      </c>
      <c r="K6" s="32" t="n">
        <v>0.368421052631579</v>
      </c>
      <c r="L6" s="31" t="n">
        <v>8</v>
      </c>
      <c r="M6" s="31" t="n">
        <v>4</v>
      </c>
      <c r="N6" s="31" t="n">
        <v>23</v>
      </c>
      <c r="O6" s="31" t="n">
        <v>2</v>
      </c>
      <c r="P6" s="31" t="n">
        <v>4</v>
      </c>
      <c r="Q6" s="32" t="n">
        <v>0.5</v>
      </c>
      <c r="R6" s="31" t="n">
        <v>0</v>
      </c>
      <c r="S6" s="31" t="n">
        <v>2</v>
      </c>
      <c r="T6" s="32" t="n">
        <v>0</v>
      </c>
    </row>
    <row r="7" customFormat="false" ht="15" hidden="false" customHeight="true" outlineLevel="0" collapsed="false">
      <c r="A7" s="27" t="s">
        <v>33</v>
      </c>
      <c r="B7" s="28" t="n">
        <v>5</v>
      </c>
      <c r="C7" s="28" t="s">
        <v>113</v>
      </c>
      <c r="D7" s="28" t="n">
        <v>4</v>
      </c>
      <c r="E7" s="28" t="n">
        <v>41.9</v>
      </c>
      <c r="F7" s="28" t="n">
        <v>2</v>
      </c>
      <c r="G7" s="28" t="n">
        <v>1</v>
      </c>
      <c r="H7" s="28" t="n">
        <v>3</v>
      </c>
      <c r="I7" s="28" t="n">
        <v>6</v>
      </c>
      <c r="J7" s="28" t="n">
        <v>4</v>
      </c>
      <c r="K7" s="29" t="n">
        <v>0.666666666666667</v>
      </c>
      <c r="L7" s="28" t="n">
        <v>8</v>
      </c>
      <c r="M7" s="28" t="n">
        <v>5</v>
      </c>
      <c r="N7" s="28" t="n">
        <v>29</v>
      </c>
      <c r="O7" s="28" t="n">
        <v>10</v>
      </c>
      <c r="P7" s="28" t="n">
        <v>20</v>
      </c>
      <c r="Q7" s="29" t="n">
        <v>0.5</v>
      </c>
      <c r="R7" s="28" t="n">
        <v>5</v>
      </c>
      <c r="S7" s="28" t="n">
        <v>6</v>
      </c>
      <c r="T7" s="29" t="n">
        <v>0.833333333333333</v>
      </c>
    </row>
    <row r="8" customFormat="false" ht="15" hidden="false" customHeight="true" outlineLevel="0" collapsed="false">
      <c r="A8" s="30" t="s">
        <v>25</v>
      </c>
      <c r="B8" s="31" t="n">
        <v>11</v>
      </c>
      <c r="C8" s="31" t="s">
        <v>113</v>
      </c>
      <c r="D8" s="31" t="n">
        <v>4</v>
      </c>
      <c r="E8" s="31" t="n">
        <v>69.1</v>
      </c>
      <c r="F8" s="31" t="n">
        <v>0</v>
      </c>
      <c r="G8" s="31" t="n">
        <v>3</v>
      </c>
      <c r="H8" s="31" t="n">
        <v>3</v>
      </c>
      <c r="I8" s="31" t="n">
        <v>29</v>
      </c>
      <c r="J8" s="31" t="n">
        <v>14</v>
      </c>
      <c r="K8" s="32" t="n">
        <v>0.482758620689655</v>
      </c>
      <c r="L8" s="31" t="n">
        <v>8</v>
      </c>
      <c r="M8" s="31" t="n">
        <v>5</v>
      </c>
      <c r="N8" s="31" t="n">
        <v>38</v>
      </c>
      <c r="O8" s="31" t="n">
        <v>2</v>
      </c>
      <c r="P8" s="31" t="n">
        <v>10</v>
      </c>
      <c r="Q8" s="32" t="n">
        <v>0.2</v>
      </c>
      <c r="R8" s="31" t="n">
        <v>4</v>
      </c>
      <c r="S8" s="31" t="n">
        <v>9</v>
      </c>
      <c r="T8" s="32" t="n">
        <v>0.444444444444444</v>
      </c>
    </row>
    <row r="9" customFormat="false" ht="15" hidden="false" customHeight="true" outlineLevel="0" collapsed="false">
      <c r="A9" s="30" t="s">
        <v>40</v>
      </c>
      <c r="B9" s="31" t="n">
        <v>10</v>
      </c>
      <c r="C9" s="31" t="s">
        <v>114</v>
      </c>
      <c r="D9" s="31" t="n">
        <v>4</v>
      </c>
      <c r="E9" s="31" t="n">
        <v>60.4</v>
      </c>
      <c r="F9" s="31" t="n">
        <v>0</v>
      </c>
      <c r="G9" s="31" t="n">
        <v>1</v>
      </c>
      <c r="H9" s="31" t="n">
        <v>1</v>
      </c>
      <c r="I9" s="31" t="n">
        <v>8</v>
      </c>
      <c r="J9" s="31" t="n">
        <v>3</v>
      </c>
      <c r="K9" s="32" t="n">
        <v>0.375</v>
      </c>
      <c r="L9" s="31" t="n">
        <v>10</v>
      </c>
      <c r="M9" s="31" t="n">
        <v>5</v>
      </c>
      <c r="N9" s="31" t="n">
        <v>26</v>
      </c>
      <c r="O9" s="31" t="n">
        <v>1</v>
      </c>
      <c r="P9" s="31" t="n">
        <v>9</v>
      </c>
      <c r="Q9" s="32" t="n">
        <v>0.111111111111111</v>
      </c>
      <c r="R9" s="31" t="n">
        <v>1</v>
      </c>
      <c r="S9" s="31" t="n">
        <v>5</v>
      </c>
      <c r="T9" s="32" t="n">
        <v>0.2</v>
      </c>
    </row>
    <row r="10" customFormat="false" ht="15" hidden="false" customHeight="true" outlineLevel="0" collapsed="false">
      <c r="A10" s="30" t="s">
        <v>115</v>
      </c>
      <c r="B10" s="31" t="n">
        <v>14</v>
      </c>
      <c r="C10" s="31" t="s">
        <v>116</v>
      </c>
      <c r="D10" s="31" t="n">
        <v>4</v>
      </c>
      <c r="E10" s="31" t="n">
        <v>54.5</v>
      </c>
      <c r="F10" s="31" t="n">
        <v>1</v>
      </c>
      <c r="G10" s="31" t="n">
        <v>0</v>
      </c>
      <c r="H10" s="31" t="n">
        <v>1</v>
      </c>
      <c r="I10" s="31" t="n">
        <v>9</v>
      </c>
      <c r="J10" s="31" t="n">
        <v>4</v>
      </c>
      <c r="K10" s="32" t="n">
        <v>0.444444444444444</v>
      </c>
      <c r="L10" s="31" t="n">
        <v>3</v>
      </c>
      <c r="M10" s="31" t="n">
        <v>7</v>
      </c>
      <c r="N10" s="31" t="n">
        <v>13</v>
      </c>
      <c r="O10" s="31" t="n">
        <v>1</v>
      </c>
      <c r="P10" s="31" t="n">
        <v>2</v>
      </c>
      <c r="Q10" s="32" t="n">
        <v>0.5</v>
      </c>
      <c r="R10" s="31" t="n">
        <v>2</v>
      </c>
      <c r="S10" s="31" t="n">
        <v>3</v>
      </c>
      <c r="T10" s="32" t="n">
        <v>0.666666666666667</v>
      </c>
    </row>
    <row r="11" customFormat="false" ht="15" hidden="false" customHeight="true" outlineLevel="0" collapsed="false">
      <c r="A11" s="30" t="s">
        <v>35</v>
      </c>
      <c r="B11" s="31" t="n">
        <v>6</v>
      </c>
      <c r="C11" s="31" t="s">
        <v>112</v>
      </c>
      <c r="D11" s="31" t="n">
        <v>2</v>
      </c>
      <c r="E11" s="31" t="n">
        <v>36</v>
      </c>
      <c r="F11" s="31" t="n">
        <v>2</v>
      </c>
      <c r="G11" s="31" t="n">
        <v>1</v>
      </c>
      <c r="H11" s="31" t="n">
        <v>3</v>
      </c>
      <c r="I11" s="31" t="n">
        <v>20</v>
      </c>
      <c r="J11" s="31" t="n">
        <v>9</v>
      </c>
      <c r="K11" s="32" t="n">
        <v>0.45</v>
      </c>
      <c r="L11" s="31" t="n">
        <v>8</v>
      </c>
      <c r="M11" s="31" t="n">
        <v>1</v>
      </c>
      <c r="N11" s="31" t="n">
        <v>16</v>
      </c>
      <c r="O11" s="31" t="n">
        <v>8</v>
      </c>
      <c r="P11" s="31" t="n">
        <v>14</v>
      </c>
      <c r="Q11" s="32" t="n">
        <v>0.571428571428571</v>
      </c>
      <c r="R11" s="31" t="n">
        <v>6</v>
      </c>
      <c r="S11" s="31" t="n">
        <v>9</v>
      </c>
      <c r="T11" s="32" t="n">
        <v>0.666666666666667</v>
      </c>
    </row>
    <row r="12" customFormat="false" ht="15" hidden="false" customHeight="true" outlineLevel="0" collapsed="false">
      <c r="A12" s="27" t="s">
        <v>27</v>
      </c>
      <c r="B12" s="28" t="n">
        <v>9</v>
      </c>
      <c r="C12" s="28" t="s">
        <v>113</v>
      </c>
      <c r="D12" s="28" t="n">
        <v>2</v>
      </c>
      <c r="E12" s="28" t="n">
        <v>32.5</v>
      </c>
      <c r="F12" s="28" t="n">
        <v>3</v>
      </c>
      <c r="G12" s="28" t="n">
        <v>0</v>
      </c>
      <c r="H12" s="28" t="n">
        <v>3</v>
      </c>
      <c r="I12" s="28" t="n">
        <v>22</v>
      </c>
      <c r="J12" s="28" t="n">
        <v>12</v>
      </c>
      <c r="K12" s="29" t="n">
        <v>0.545454545454545</v>
      </c>
      <c r="L12" s="28" t="n">
        <v>2</v>
      </c>
      <c r="M12" s="28" t="n">
        <v>2</v>
      </c>
      <c r="N12" s="28" t="n">
        <v>13</v>
      </c>
      <c r="O12" s="28" t="n">
        <v>12</v>
      </c>
      <c r="P12" s="28" t="n">
        <v>13</v>
      </c>
      <c r="Q12" s="29" t="n">
        <v>0.923076923076923</v>
      </c>
      <c r="R12" s="28" t="n">
        <v>0</v>
      </c>
      <c r="S12" s="28" t="n">
        <v>0</v>
      </c>
      <c r="T12" s="28" t="s">
        <v>117</v>
      </c>
    </row>
    <row r="13" customFormat="false" ht="15" hidden="false" customHeight="true" outlineLevel="0" collapsed="false">
      <c r="A13" s="27" t="s">
        <v>118</v>
      </c>
      <c r="B13" s="28" t="n">
        <v>2</v>
      </c>
      <c r="C13" s="28" t="s">
        <v>113</v>
      </c>
      <c r="D13" s="28" t="n">
        <v>2</v>
      </c>
      <c r="E13" s="28" t="n">
        <v>26</v>
      </c>
      <c r="F13" s="28" t="n">
        <v>1</v>
      </c>
      <c r="G13" s="28" t="n">
        <v>1</v>
      </c>
      <c r="H13" s="28" t="n">
        <v>2</v>
      </c>
      <c r="I13" s="28" t="n">
        <v>8</v>
      </c>
      <c r="J13" s="28" t="n">
        <v>4</v>
      </c>
      <c r="K13" s="29" t="n">
        <v>0.5</v>
      </c>
      <c r="L13" s="28" t="n">
        <v>3</v>
      </c>
      <c r="M13" s="28" t="n">
        <v>1</v>
      </c>
      <c r="N13" s="28" t="n">
        <v>8</v>
      </c>
      <c r="O13" s="28" t="n">
        <v>3</v>
      </c>
      <c r="P13" s="28" t="n">
        <v>7</v>
      </c>
      <c r="Q13" s="29" t="n">
        <v>0.428571428571429</v>
      </c>
      <c r="R13" s="28" t="n">
        <v>1</v>
      </c>
      <c r="S13" s="28" t="n">
        <v>4</v>
      </c>
      <c r="T13" s="29" t="n">
        <v>0.25</v>
      </c>
    </row>
    <row r="14" customFormat="false" ht="15" hidden="false" customHeight="true" outlineLevel="0" collapsed="false">
      <c r="A14" s="30" t="s">
        <v>34</v>
      </c>
      <c r="B14" s="31" t="n">
        <v>4</v>
      </c>
      <c r="C14" s="31" t="s">
        <v>116</v>
      </c>
      <c r="D14" s="31" t="n">
        <v>2</v>
      </c>
      <c r="E14" s="31" t="n">
        <v>18.4</v>
      </c>
      <c r="F14" s="31" t="n">
        <v>0</v>
      </c>
      <c r="G14" s="31" t="n">
        <v>2</v>
      </c>
      <c r="H14" s="31" t="n">
        <v>2</v>
      </c>
      <c r="I14" s="31" t="n">
        <v>0</v>
      </c>
      <c r="J14" s="31" t="n">
        <v>0</v>
      </c>
      <c r="K14" s="31" t="s">
        <v>117</v>
      </c>
      <c r="L14" s="31" t="n">
        <v>2</v>
      </c>
      <c r="M14" s="31" t="n">
        <v>0</v>
      </c>
      <c r="N14" s="31" t="n">
        <v>6</v>
      </c>
      <c r="O14" s="31" t="n">
        <v>0</v>
      </c>
      <c r="P14" s="31" t="n">
        <v>2</v>
      </c>
      <c r="Q14" s="32" t="n">
        <v>0</v>
      </c>
      <c r="R14" s="31" t="n">
        <v>3</v>
      </c>
      <c r="S14" s="31" t="n">
        <v>4</v>
      </c>
      <c r="T14" s="32" t="n">
        <v>0.75</v>
      </c>
    </row>
    <row r="15" customFormat="false" ht="15" hidden="false" customHeight="true" outlineLevel="0" collapsed="false">
      <c r="A15" s="30" t="s">
        <v>119</v>
      </c>
      <c r="B15" s="31" t="n">
        <v>6</v>
      </c>
      <c r="C15" s="31" t="s">
        <v>112</v>
      </c>
      <c r="D15" s="31" t="n">
        <v>2</v>
      </c>
      <c r="E15" s="31" t="n">
        <v>21.5</v>
      </c>
      <c r="F15" s="31" t="n">
        <v>0</v>
      </c>
      <c r="G15" s="31" t="n">
        <v>1</v>
      </c>
      <c r="H15" s="31" t="n">
        <v>1</v>
      </c>
      <c r="I15" s="31" t="n">
        <v>5</v>
      </c>
      <c r="J15" s="31" t="n">
        <v>1</v>
      </c>
      <c r="K15" s="32" t="n">
        <v>0.2</v>
      </c>
      <c r="L15" s="31" t="n">
        <v>0</v>
      </c>
      <c r="M15" s="31" t="n">
        <v>3</v>
      </c>
      <c r="N15" s="31" t="n">
        <v>11</v>
      </c>
      <c r="O15" s="31" t="n">
        <v>2</v>
      </c>
      <c r="P15" s="31" t="n">
        <v>3</v>
      </c>
      <c r="Q15" s="32" t="n">
        <v>0.666666666666667</v>
      </c>
      <c r="R15" s="31" t="n">
        <v>4</v>
      </c>
      <c r="S15" s="31" t="n">
        <v>4</v>
      </c>
      <c r="T15" s="32" t="n">
        <v>1</v>
      </c>
    </row>
    <row r="16" customFormat="false" ht="15" hidden="false" customHeight="true" outlineLevel="0" collapsed="false">
      <c r="A16" s="27" t="s">
        <v>120</v>
      </c>
      <c r="B16" s="28" t="n">
        <v>7</v>
      </c>
      <c r="C16" s="28" t="s">
        <v>114</v>
      </c>
      <c r="D16" s="28" t="n">
        <v>2</v>
      </c>
      <c r="E16" s="28" t="n">
        <v>26.5</v>
      </c>
      <c r="F16" s="28" t="n">
        <v>1</v>
      </c>
      <c r="G16" s="28" t="n">
        <v>0</v>
      </c>
      <c r="H16" s="28" t="n">
        <v>1</v>
      </c>
      <c r="I16" s="28" t="n">
        <v>10</v>
      </c>
      <c r="J16" s="28" t="n">
        <v>7</v>
      </c>
      <c r="K16" s="29" t="n">
        <v>0.7</v>
      </c>
      <c r="L16" s="28" t="n">
        <v>2</v>
      </c>
      <c r="M16" s="28" t="n">
        <v>3</v>
      </c>
      <c r="N16" s="28" t="n">
        <v>5</v>
      </c>
      <c r="O16" s="28" t="n">
        <v>0</v>
      </c>
      <c r="P16" s="28" t="n">
        <v>1</v>
      </c>
      <c r="Q16" s="29" t="n">
        <v>0</v>
      </c>
      <c r="R16" s="28" t="n">
        <v>0</v>
      </c>
      <c r="S16" s="28" t="n">
        <v>0</v>
      </c>
      <c r="T16" s="28" t="s">
        <v>117</v>
      </c>
    </row>
    <row r="17" customFormat="false" ht="15" hidden="false" customHeight="true" outlineLevel="0" collapsed="false">
      <c r="A17" s="27" t="s">
        <v>121</v>
      </c>
      <c r="B17" s="28" t="n">
        <v>13</v>
      </c>
      <c r="C17" s="28" t="s">
        <v>114</v>
      </c>
      <c r="D17" s="28" t="n">
        <v>2</v>
      </c>
      <c r="E17" s="28" t="n">
        <v>27.6</v>
      </c>
      <c r="F17" s="28" t="n">
        <v>1</v>
      </c>
      <c r="G17" s="28" t="n">
        <v>0</v>
      </c>
      <c r="H17" s="28" t="n">
        <v>1</v>
      </c>
      <c r="I17" s="28" t="n">
        <v>5</v>
      </c>
      <c r="J17" s="28" t="n">
        <v>2</v>
      </c>
      <c r="K17" s="29" t="n">
        <v>0.4</v>
      </c>
      <c r="L17" s="28" t="n">
        <v>2</v>
      </c>
      <c r="M17" s="28" t="n">
        <v>2</v>
      </c>
      <c r="N17" s="28" t="n">
        <v>12</v>
      </c>
      <c r="O17" s="28" t="n">
        <v>0</v>
      </c>
      <c r="P17" s="28" t="n">
        <v>2</v>
      </c>
      <c r="Q17" s="29" t="n">
        <v>0</v>
      </c>
      <c r="R17" s="28" t="n">
        <v>5</v>
      </c>
      <c r="S17" s="28" t="n">
        <v>7</v>
      </c>
      <c r="T17" s="29" t="n">
        <v>0.714285714285714</v>
      </c>
    </row>
    <row r="18" customFormat="false" ht="15" hidden="false" customHeight="true" outlineLevel="0" collapsed="false">
      <c r="A18" s="27" t="s">
        <v>122</v>
      </c>
      <c r="B18" s="28" t="n">
        <v>17</v>
      </c>
      <c r="C18" s="28" t="s">
        <v>114</v>
      </c>
      <c r="D18" s="28" t="n">
        <v>2</v>
      </c>
      <c r="E18" s="28" t="n">
        <v>20.6</v>
      </c>
      <c r="F18" s="28" t="n">
        <v>1</v>
      </c>
      <c r="G18" s="28" t="n">
        <v>0</v>
      </c>
      <c r="H18" s="28" t="n">
        <v>1</v>
      </c>
      <c r="I18" s="28" t="n">
        <v>2</v>
      </c>
      <c r="J18" s="28" t="n">
        <v>2</v>
      </c>
      <c r="K18" s="29" t="n">
        <v>1</v>
      </c>
      <c r="L18" s="28" t="n">
        <v>2</v>
      </c>
      <c r="M18" s="28" t="n">
        <v>2</v>
      </c>
      <c r="N18" s="28" t="n">
        <v>13</v>
      </c>
      <c r="O18" s="28" t="n">
        <v>0</v>
      </c>
      <c r="P18" s="28" t="n">
        <v>4</v>
      </c>
      <c r="Q18" s="29" t="n">
        <v>0</v>
      </c>
      <c r="R18" s="28" t="n">
        <v>2</v>
      </c>
      <c r="S18" s="28" t="n">
        <v>4</v>
      </c>
      <c r="T18" s="29" t="n">
        <v>0.5</v>
      </c>
    </row>
    <row r="19" customFormat="false" ht="15" hidden="false" customHeight="true" outlineLevel="0" collapsed="false">
      <c r="A19" s="30" t="s">
        <v>123</v>
      </c>
      <c r="B19" s="31" t="n">
        <v>2</v>
      </c>
      <c r="C19" s="31" t="s">
        <v>112</v>
      </c>
      <c r="D19" s="31" t="n">
        <v>2</v>
      </c>
      <c r="E19" s="31" t="n">
        <v>11.9</v>
      </c>
      <c r="F19" s="31" t="n">
        <v>0</v>
      </c>
      <c r="G19" s="31" t="n">
        <v>0</v>
      </c>
      <c r="H19" s="31" t="n">
        <v>0</v>
      </c>
      <c r="I19" s="31" t="n">
        <v>0</v>
      </c>
      <c r="J19" s="31" t="n">
        <v>0</v>
      </c>
      <c r="K19" s="31" t="s">
        <v>117</v>
      </c>
      <c r="L19" s="31" t="n">
        <v>0</v>
      </c>
      <c r="M19" s="31" t="n">
        <v>1</v>
      </c>
      <c r="N19" s="31" t="n">
        <v>2</v>
      </c>
      <c r="O19" s="31" t="n">
        <v>0</v>
      </c>
      <c r="P19" s="31" t="n">
        <v>0</v>
      </c>
      <c r="Q19" s="31" t="s">
        <v>117</v>
      </c>
      <c r="R19" s="31" t="n">
        <v>0</v>
      </c>
      <c r="S19" s="31" t="n">
        <v>0</v>
      </c>
      <c r="T19" s="31" t="s">
        <v>117</v>
      </c>
    </row>
    <row r="20" customFormat="false" ht="15" hidden="false" customHeight="true" outlineLevel="0" collapsed="false">
      <c r="A20" s="27" t="s">
        <v>124</v>
      </c>
      <c r="B20" s="28" t="n">
        <v>7</v>
      </c>
      <c r="C20" s="28" t="s">
        <v>116</v>
      </c>
      <c r="D20" s="28" t="n">
        <v>2</v>
      </c>
      <c r="E20" s="28" t="n">
        <v>26.1</v>
      </c>
      <c r="F20" s="28" t="n">
        <v>0</v>
      </c>
      <c r="G20" s="28" t="n">
        <v>0</v>
      </c>
      <c r="H20" s="28" t="n">
        <v>0</v>
      </c>
      <c r="I20" s="28" t="n">
        <v>8</v>
      </c>
      <c r="J20" s="28" t="n">
        <v>1</v>
      </c>
      <c r="K20" s="29" t="n">
        <v>0.125</v>
      </c>
      <c r="L20" s="28" t="n">
        <v>2</v>
      </c>
      <c r="M20" s="28" t="n">
        <v>6</v>
      </c>
      <c r="N20" s="28" t="n">
        <v>11</v>
      </c>
      <c r="O20" s="28" t="n">
        <v>1</v>
      </c>
      <c r="P20" s="28" t="n">
        <v>2</v>
      </c>
      <c r="Q20" s="29" t="n">
        <v>0.5</v>
      </c>
      <c r="R20" s="28" t="n">
        <v>1</v>
      </c>
      <c r="S20" s="28" t="n">
        <v>2</v>
      </c>
      <c r="T20" s="29" t="n">
        <v>0.5</v>
      </c>
    </row>
    <row r="21" customFormat="false" ht="15" hidden="false" customHeight="true" outlineLevel="0" collapsed="false">
      <c r="A21" s="30" t="s">
        <v>125</v>
      </c>
      <c r="B21" s="31" t="n">
        <v>9</v>
      </c>
      <c r="C21" s="31" t="s">
        <v>113</v>
      </c>
      <c r="D21" s="31" t="n">
        <v>2</v>
      </c>
      <c r="E21" s="31" t="n">
        <v>18.9</v>
      </c>
      <c r="F21" s="31" t="n">
        <v>0</v>
      </c>
      <c r="G21" s="31" t="n">
        <v>0</v>
      </c>
      <c r="H21" s="31" t="n">
        <v>0</v>
      </c>
      <c r="I21" s="31" t="n">
        <v>4</v>
      </c>
      <c r="J21" s="31" t="n">
        <v>1</v>
      </c>
      <c r="K21" s="32" t="n">
        <v>0.25</v>
      </c>
      <c r="L21" s="31" t="n">
        <v>0</v>
      </c>
      <c r="M21" s="31" t="n">
        <v>1</v>
      </c>
      <c r="N21" s="31" t="n">
        <v>10</v>
      </c>
      <c r="O21" s="31" t="n">
        <v>3</v>
      </c>
      <c r="P21" s="31" t="n">
        <v>7</v>
      </c>
      <c r="Q21" s="32" t="n">
        <v>0.428571428571429</v>
      </c>
      <c r="R21" s="31" t="n">
        <v>4</v>
      </c>
      <c r="S21" s="31" t="n">
        <v>4</v>
      </c>
      <c r="T21" s="32" t="n">
        <v>1</v>
      </c>
    </row>
    <row r="22" customFormat="false" ht="15" hidden="false" customHeight="true" outlineLevel="0" collapsed="false">
      <c r="A22" s="27" t="s">
        <v>126</v>
      </c>
      <c r="B22" s="28" t="n">
        <v>13</v>
      </c>
      <c r="C22" s="28" t="s">
        <v>116</v>
      </c>
      <c r="D22" s="28" t="n">
        <v>2</v>
      </c>
      <c r="E22" s="28" t="n">
        <v>23.5</v>
      </c>
      <c r="F22" s="28" t="n">
        <v>0</v>
      </c>
      <c r="G22" s="28" t="n">
        <v>0</v>
      </c>
      <c r="H22" s="28" t="n">
        <v>0</v>
      </c>
      <c r="I22" s="28" t="n">
        <v>10</v>
      </c>
      <c r="J22" s="28" t="n">
        <v>5</v>
      </c>
      <c r="K22" s="29" t="n">
        <v>0.5</v>
      </c>
      <c r="L22" s="28" t="n">
        <v>0</v>
      </c>
      <c r="M22" s="28" t="n">
        <v>2</v>
      </c>
      <c r="N22" s="28" t="n">
        <v>4</v>
      </c>
      <c r="O22" s="28" t="n">
        <v>1</v>
      </c>
      <c r="P22" s="28" t="n">
        <v>1</v>
      </c>
      <c r="Q22" s="29" t="n">
        <v>1</v>
      </c>
      <c r="R22" s="28" t="n">
        <v>3</v>
      </c>
      <c r="S22" s="28" t="n">
        <v>3</v>
      </c>
      <c r="T22" s="29" t="n">
        <v>1</v>
      </c>
    </row>
    <row r="23" customFormat="false" ht="24" hidden="false" customHeight="true" outlineLevel="0" collapsed="false">
      <c r="A23" s="27" t="s">
        <v>127</v>
      </c>
      <c r="B23" s="28" t="n">
        <v>4</v>
      </c>
      <c r="C23" s="28" t="s">
        <v>116</v>
      </c>
      <c r="D23" s="28" t="n">
        <v>1</v>
      </c>
      <c r="E23" s="28" t="n">
        <v>10.5</v>
      </c>
      <c r="F23" s="28" t="n">
        <v>0</v>
      </c>
      <c r="G23" s="28" t="n">
        <v>1</v>
      </c>
      <c r="H23" s="28" t="n">
        <v>1</v>
      </c>
      <c r="I23" s="28" t="n">
        <v>2</v>
      </c>
      <c r="J23" s="28" t="n">
        <v>0</v>
      </c>
      <c r="K23" s="29" t="n">
        <v>0</v>
      </c>
      <c r="L23" s="28" t="n">
        <v>0</v>
      </c>
      <c r="M23" s="28" t="n">
        <v>0</v>
      </c>
      <c r="N23" s="28" t="n">
        <v>2</v>
      </c>
      <c r="O23" s="28" t="n">
        <v>0</v>
      </c>
      <c r="P23" s="28" t="n">
        <v>1</v>
      </c>
      <c r="Q23" s="29" t="n">
        <v>0</v>
      </c>
      <c r="R23" s="28" t="n">
        <v>0</v>
      </c>
      <c r="S23" s="28" t="n">
        <v>0</v>
      </c>
      <c r="T23" s="28" t="s">
        <v>117</v>
      </c>
    </row>
  </sheetData>
  <autoFilter ref="A4:T23"/>
  <mergeCells count="1">
    <mergeCell ref="A1:T2"/>
  </mergeCells>
  <conditionalFormatting sqref="F5:F23">
    <cfRule type="dataBar" priority="2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{93209C5C-35DB-499E-B5A2-25D845D06818}</x14:id>
        </ext>
      </extLst>
    </cfRule>
  </conditionalFormatting>
  <conditionalFormatting sqref="G5:G23">
    <cfRule type="dataBar" priority="3">
      <dataBar showValue="1" minLength="10" maxLength="90">
        <cfvo type="min" val="0"/>
        <cfvo type="max" val="0"/>
        <color rgb="FF4A90D9"/>
      </dataBar>
      <extLst>
        <ext xmlns:x14="http://schemas.microsoft.com/office/spreadsheetml/2009/9/main" uri="{B025F937-C7B1-47D3-B67F-A62EFF666E3E}">
          <x14:id>{2EFFBA31-5117-40B0-8E3C-E08AB254F5B6}</x14:id>
        </ext>
      </extLst>
    </cfRule>
  </conditionalFormatting>
  <conditionalFormatting sqref="N5:N23">
    <cfRule type="dataBar" priority="4">
      <dataBar showValue="1" minLength="10" maxLength="90">
        <cfvo type="min" val="0"/>
        <cfvo type="max" val="0"/>
        <color rgb="FFED2939"/>
      </dataBar>
      <extLst>
        <ext xmlns:x14="http://schemas.microsoft.com/office/spreadsheetml/2009/9/main" uri="{B025F937-C7B1-47D3-B67F-A62EFF666E3E}">
          <x14:id>{98F886B0-D264-4C83-9927-1CF7B582B14D}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209C5C-35DB-499E-B5A2-25D845D06818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F5:F23</xm:sqref>
        </x14:conditionalFormatting>
        <x14:conditionalFormatting xmlns:xm="http://schemas.microsoft.com/office/excel/2006/main">
          <x14:cfRule type="dataBar" id="{2EFFBA31-5117-40B0-8E3C-E08AB254F5B6}">
            <x14:dataBar minLength="10" maxLength="90" axisPosition="none" gradient="true">
              <x14:cfvo type="min"/>
              <x14:cfvo type="max"/>
              <x14:negativeFillColor rgb="FF4A90D9"/>
              <x14:axisColor rgb="FF000000"/>
            </x14:dataBar>
          </x14:cfRule>
          <xm:sqref>G5:G23</xm:sqref>
        </x14:conditionalFormatting>
        <x14:conditionalFormatting xmlns:xm="http://schemas.microsoft.com/office/excel/2006/main">
          <x14:cfRule type="dataBar" id="{98F886B0-D264-4C83-9927-1CF7B582B14D}">
            <x14:dataBar minLength="10" maxLength="90" axisPosition="none" gradient="true">
              <x14:cfvo type="min"/>
              <x14:cfvo type="max"/>
              <x14:negativeFillColor rgb="FFED2939"/>
              <x14:axisColor rgb="FF000000"/>
            </x14:dataBar>
          </x14:cfRule>
          <xm:sqref>N5:N23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AG38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B9" activeCellId="1" sqref="K3:M3 AB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2"/>
    <col collapsed="false" customWidth="true" hidden="false" outlineLevel="0" max="3" min="3" style="1" width="14"/>
    <col collapsed="false" customWidth="true" hidden="false" outlineLevel="0" max="4" min="4" style="1" width="21.51"/>
    <col collapsed="false" customWidth="true" hidden="false" outlineLevel="0" max="12" min="5" style="1" width="14"/>
    <col collapsed="false" customWidth="false" hidden="false" outlineLevel="0" max="14" min="13" style="1" width="8.68"/>
    <col collapsed="false" customWidth="true" hidden="false" outlineLevel="0" max="15" min="15" style="1" width="16.56"/>
    <col collapsed="false" customWidth="true" hidden="false" outlineLevel="0" max="16" min="16" style="1" width="12.22"/>
    <col collapsed="false" customWidth="true" hidden="false" outlineLevel="0" max="17" min="17" style="1" width="8.36"/>
    <col collapsed="false" customWidth="true" hidden="false" outlineLevel="0" max="18" min="18" style="1" width="7.76"/>
    <col collapsed="false" customWidth="true" hidden="false" outlineLevel="0" max="19" min="19" style="1" width="8.49"/>
    <col collapsed="false" customWidth="true" hidden="false" outlineLevel="0" max="20" min="20" style="1" width="5.25"/>
    <col collapsed="false" customWidth="true" hidden="false" outlineLevel="0" max="21" min="21" style="1" width="3.78"/>
    <col collapsed="false" customWidth="true" hidden="false" outlineLevel="0" max="22" min="22" style="1" width="4.5"/>
    <col collapsed="false" customWidth="true" hidden="false" outlineLevel="0" max="23" min="23" style="1" width="10.89"/>
    <col collapsed="false" customWidth="true" hidden="false" outlineLevel="0" max="24" min="24" style="1" width="12.46"/>
    <col collapsed="false" customWidth="true" hidden="false" outlineLevel="0" max="25" min="25" style="1" width="13.3"/>
    <col collapsed="false" customWidth="true" hidden="false" outlineLevel="0" max="26" min="26" style="1" width="6.79"/>
    <col collapsed="false" customWidth="true" hidden="false" outlineLevel="0" max="27" min="27" style="1" width="9.21"/>
    <col collapsed="false" customWidth="true" hidden="false" outlineLevel="0" max="28" min="28" style="1" width="8.85"/>
    <col collapsed="false" customWidth="true" hidden="false" outlineLevel="0" max="29" min="29" style="1" width="9.09"/>
    <col collapsed="false" customWidth="false" hidden="false" outlineLevel="0" max="30" min="30" style="1" width="8.72"/>
    <col collapsed="false" customWidth="true" hidden="false" outlineLevel="0" max="31" min="31" style="1" width="7.16"/>
    <col collapsed="false" customWidth="true" hidden="false" outlineLevel="0" max="32" min="32" style="1" width="7.64"/>
    <col collapsed="false" customWidth="true" hidden="false" outlineLevel="0" max="33" min="33" style="1" width="7.52"/>
    <col collapsed="false" customWidth="false" hidden="false" outlineLevel="0" max="16384" min="34" style="1" width="8.68"/>
  </cols>
  <sheetData>
    <row r="1" customFormat="false" ht="15" hidden="false" customHeight="true" outlineLevel="0" collapsed="false">
      <c r="A1" s="24" t="s">
        <v>128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O1" s="33" t="s">
        <v>108</v>
      </c>
      <c r="P1" s="33" t="s">
        <v>109</v>
      </c>
      <c r="Q1" s="33" t="s">
        <v>129</v>
      </c>
      <c r="R1" s="33" t="s">
        <v>110</v>
      </c>
      <c r="S1" s="33" t="s">
        <v>130</v>
      </c>
      <c r="T1" s="33" t="s">
        <v>18</v>
      </c>
      <c r="U1" s="33" t="s">
        <v>20</v>
      </c>
      <c r="V1" s="33" t="s">
        <v>37</v>
      </c>
      <c r="W1" s="33" t="s">
        <v>131</v>
      </c>
      <c r="X1" s="33" t="s">
        <v>55</v>
      </c>
      <c r="Y1" s="33" t="s">
        <v>132</v>
      </c>
      <c r="Z1" s="33" t="s">
        <v>111</v>
      </c>
      <c r="AA1" s="33" t="s">
        <v>133</v>
      </c>
      <c r="AB1" s="33" t="s">
        <v>134</v>
      </c>
      <c r="AC1" s="33" t="s">
        <v>135</v>
      </c>
      <c r="AD1" s="33" t="s">
        <v>136</v>
      </c>
      <c r="AE1" s="33" t="s">
        <v>137</v>
      </c>
      <c r="AF1" s="33" t="s">
        <v>138</v>
      </c>
      <c r="AG1" s="33" t="s">
        <v>139</v>
      </c>
    </row>
    <row r="2" customFormat="false" ht="15" hidden="false" customHeight="true" outlineLevel="0" collapsed="false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O2" s="33" t="s">
        <v>24</v>
      </c>
      <c r="P2" s="34" t="s">
        <v>112</v>
      </c>
      <c r="Q2" s="34" t="n">
        <v>8</v>
      </c>
      <c r="R2" s="34" t="n">
        <v>4</v>
      </c>
      <c r="S2" s="34" t="n">
        <v>64.1</v>
      </c>
      <c r="T2" s="34" t="n">
        <v>3</v>
      </c>
      <c r="U2" s="34" t="n">
        <v>1</v>
      </c>
      <c r="V2" s="34" t="n">
        <v>21</v>
      </c>
      <c r="W2" s="34" t="n">
        <v>12</v>
      </c>
      <c r="X2" s="34" t="n">
        <v>12</v>
      </c>
      <c r="Y2" s="34" t="n">
        <v>11</v>
      </c>
      <c r="Z2" s="34" t="n">
        <v>30</v>
      </c>
      <c r="AA2" s="34" t="n">
        <v>8</v>
      </c>
      <c r="AB2" s="34" t="n">
        <v>13</v>
      </c>
      <c r="AC2" s="34" t="n">
        <v>4</v>
      </c>
      <c r="AD2" s="34" t="n">
        <v>6</v>
      </c>
      <c r="AE2" s="35" t="n">
        <v>0.571428571428571</v>
      </c>
      <c r="AF2" s="35" t="n">
        <v>0.615384615384615</v>
      </c>
      <c r="AG2" s="35" t="n">
        <v>0.666666666666667</v>
      </c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O3" s="33" t="s">
        <v>28</v>
      </c>
      <c r="P3" s="34" t="s">
        <v>112</v>
      </c>
      <c r="Q3" s="34" t="n">
        <v>3</v>
      </c>
      <c r="R3" s="34" t="n">
        <v>4</v>
      </c>
      <c r="S3" s="34" t="n">
        <v>41.7</v>
      </c>
      <c r="T3" s="34" t="n">
        <v>1</v>
      </c>
      <c r="U3" s="34" t="n">
        <v>2</v>
      </c>
      <c r="V3" s="34" t="n">
        <v>19</v>
      </c>
      <c r="W3" s="34" t="n">
        <v>7</v>
      </c>
      <c r="X3" s="34" t="n">
        <v>8</v>
      </c>
      <c r="Y3" s="34" t="n">
        <v>4</v>
      </c>
      <c r="Z3" s="34" t="n">
        <v>23</v>
      </c>
      <c r="AA3" s="34" t="n">
        <v>2</v>
      </c>
      <c r="AB3" s="34" t="n">
        <v>4</v>
      </c>
      <c r="AC3" s="34" t="n">
        <v>0</v>
      </c>
      <c r="AD3" s="34" t="n">
        <v>2</v>
      </c>
      <c r="AE3" s="35" t="n">
        <v>0.368421052631579</v>
      </c>
      <c r="AF3" s="35" t="n">
        <v>0.5</v>
      </c>
      <c r="AG3" s="35" t="n">
        <v>0</v>
      </c>
    </row>
    <row r="4" customFormat="false" ht="15" hidden="false" customHeight="true" outlineLevel="0" collapsed="false">
      <c r="O4" s="33" t="s">
        <v>33</v>
      </c>
      <c r="P4" s="34" t="s">
        <v>113</v>
      </c>
      <c r="Q4" s="34" t="n">
        <v>5</v>
      </c>
      <c r="R4" s="34" t="n">
        <v>4</v>
      </c>
      <c r="S4" s="34" t="n">
        <v>41.9</v>
      </c>
      <c r="T4" s="34" t="n">
        <v>2</v>
      </c>
      <c r="U4" s="34" t="n">
        <v>1</v>
      </c>
      <c r="V4" s="34" t="n">
        <v>6</v>
      </c>
      <c r="W4" s="34" t="n">
        <v>4</v>
      </c>
      <c r="X4" s="34" t="n">
        <v>8</v>
      </c>
      <c r="Y4" s="34" t="n">
        <v>5</v>
      </c>
      <c r="Z4" s="34" t="n">
        <v>29</v>
      </c>
      <c r="AA4" s="34" t="n">
        <v>10</v>
      </c>
      <c r="AB4" s="34" t="n">
        <v>20</v>
      </c>
      <c r="AC4" s="34" t="n">
        <v>5</v>
      </c>
      <c r="AD4" s="34" t="n">
        <v>6</v>
      </c>
      <c r="AE4" s="35" t="n">
        <v>0.666666666666667</v>
      </c>
      <c r="AF4" s="35" t="n">
        <v>0.5</v>
      </c>
      <c r="AG4" s="35" t="n">
        <v>0.833333333333333</v>
      </c>
    </row>
    <row r="5" customFormat="false" ht="17.25" hidden="false" customHeight="true" outlineLevel="0" collapsed="false">
      <c r="B5" s="36" t="s">
        <v>140</v>
      </c>
      <c r="D5" s="37" t="s">
        <v>33</v>
      </c>
      <c r="O5" s="33" t="s">
        <v>35</v>
      </c>
      <c r="P5" s="34" t="s">
        <v>112</v>
      </c>
      <c r="Q5" s="34" t="n">
        <v>6</v>
      </c>
      <c r="R5" s="34" t="n">
        <v>2</v>
      </c>
      <c r="S5" s="34" t="n">
        <v>36</v>
      </c>
      <c r="T5" s="34" t="n">
        <v>2</v>
      </c>
      <c r="U5" s="34" t="n">
        <v>1</v>
      </c>
      <c r="V5" s="34" t="n">
        <v>20</v>
      </c>
      <c r="W5" s="34" t="n">
        <v>9</v>
      </c>
      <c r="X5" s="34" t="n">
        <v>8</v>
      </c>
      <c r="Y5" s="34" t="n">
        <v>1</v>
      </c>
      <c r="Z5" s="34" t="n">
        <v>16</v>
      </c>
      <c r="AA5" s="34" t="n">
        <v>8</v>
      </c>
      <c r="AB5" s="34" t="n">
        <v>14</v>
      </c>
      <c r="AC5" s="34" t="n">
        <v>6</v>
      </c>
      <c r="AD5" s="34" t="n">
        <v>9</v>
      </c>
      <c r="AE5" s="35" t="n">
        <v>0.45</v>
      </c>
      <c r="AF5" s="35" t="n">
        <v>0.571428571428571</v>
      </c>
      <c r="AG5" s="35" t="n">
        <v>0.666666666666667</v>
      </c>
    </row>
    <row r="6" customFormat="false" ht="15" hidden="false" customHeight="true" outlineLevel="0" collapsed="false">
      <c r="O6" s="33" t="s">
        <v>27</v>
      </c>
      <c r="P6" s="34" t="s">
        <v>113</v>
      </c>
      <c r="Q6" s="34" t="n">
        <v>9</v>
      </c>
      <c r="R6" s="34" t="n">
        <v>2</v>
      </c>
      <c r="S6" s="34" t="n">
        <v>32.5</v>
      </c>
      <c r="T6" s="34" t="n">
        <v>3</v>
      </c>
      <c r="U6" s="34" t="n">
        <v>0</v>
      </c>
      <c r="V6" s="34" t="n">
        <v>22</v>
      </c>
      <c r="W6" s="34" t="n">
        <v>12</v>
      </c>
      <c r="X6" s="34" t="n">
        <v>2</v>
      </c>
      <c r="Y6" s="34" t="n">
        <v>2</v>
      </c>
      <c r="Z6" s="34" t="n">
        <v>13</v>
      </c>
      <c r="AA6" s="34" t="n">
        <v>12</v>
      </c>
      <c r="AB6" s="34" t="n">
        <v>13</v>
      </c>
      <c r="AC6" s="34" t="n">
        <v>0</v>
      </c>
      <c r="AD6" s="34" t="n">
        <v>0</v>
      </c>
      <c r="AE6" s="35" t="n">
        <v>0.545454545454545</v>
      </c>
      <c r="AF6" s="35" t="n">
        <v>0.923076923076923</v>
      </c>
      <c r="AG6" s="35" t="n">
        <v>0</v>
      </c>
    </row>
    <row r="7" customFormat="false" ht="15" hidden="false" customHeight="true" outlineLevel="0" collapsed="false">
      <c r="B7" s="38" t="s">
        <v>109</v>
      </c>
      <c r="C7" s="39" t="str">
        <f aca="false">IFERROR(VLOOKUP($D$5,$O$1:$AG$20,2,FALSE()),"-")</f>
        <v>Ailier</v>
      </c>
      <c r="O7" s="33" t="s">
        <v>25</v>
      </c>
      <c r="P7" s="34" t="s">
        <v>113</v>
      </c>
      <c r="Q7" s="34" t="n">
        <v>11</v>
      </c>
      <c r="R7" s="34" t="n">
        <v>4</v>
      </c>
      <c r="S7" s="34" t="n">
        <v>69.1</v>
      </c>
      <c r="T7" s="34" t="n">
        <v>0</v>
      </c>
      <c r="U7" s="34" t="n">
        <v>3</v>
      </c>
      <c r="V7" s="34" t="n">
        <v>29</v>
      </c>
      <c r="W7" s="34" t="n">
        <v>14</v>
      </c>
      <c r="X7" s="34" t="n">
        <v>8</v>
      </c>
      <c r="Y7" s="34" t="n">
        <v>5</v>
      </c>
      <c r="Z7" s="34" t="n">
        <v>38</v>
      </c>
      <c r="AA7" s="34" t="n">
        <v>2</v>
      </c>
      <c r="AB7" s="34" t="n">
        <v>10</v>
      </c>
      <c r="AC7" s="34" t="n">
        <v>4</v>
      </c>
      <c r="AD7" s="34" t="n">
        <v>9</v>
      </c>
      <c r="AE7" s="35" t="n">
        <v>0.482758620689655</v>
      </c>
      <c r="AF7" s="35" t="n">
        <v>0.2</v>
      </c>
      <c r="AG7" s="35" t="n">
        <v>0.444444444444444</v>
      </c>
    </row>
    <row r="8" customFormat="false" ht="15" hidden="false" customHeight="true" outlineLevel="0" collapsed="false">
      <c r="B8" s="38" t="s">
        <v>129</v>
      </c>
      <c r="C8" s="39" t="n">
        <f aca="false">IFERROR(VLOOKUP($D$5,$O$1:$AG$20,3,FALSE()),"-")</f>
        <v>5</v>
      </c>
      <c r="O8" s="33" t="s">
        <v>118</v>
      </c>
      <c r="P8" s="34" t="s">
        <v>113</v>
      </c>
      <c r="Q8" s="34" t="n">
        <v>2</v>
      </c>
      <c r="R8" s="34" t="n">
        <v>2</v>
      </c>
      <c r="S8" s="34" t="n">
        <v>26</v>
      </c>
      <c r="T8" s="34" t="n">
        <v>1</v>
      </c>
      <c r="U8" s="34" t="n">
        <v>1</v>
      </c>
      <c r="V8" s="34" t="n">
        <v>8</v>
      </c>
      <c r="W8" s="34" t="n">
        <v>4</v>
      </c>
      <c r="X8" s="34" t="n">
        <v>3</v>
      </c>
      <c r="Y8" s="34" t="n">
        <v>1</v>
      </c>
      <c r="Z8" s="34" t="n">
        <v>8</v>
      </c>
      <c r="AA8" s="34" t="n">
        <v>3</v>
      </c>
      <c r="AB8" s="34" t="n">
        <v>7</v>
      </c>
      <c r="AC8" s="34" t="n">
        <v>1</v>
      </c>
      <c r="AD8" s="34" t="n">
        <v>4</v>
      </c>
      <c r="AE8" s="35" t="n">
        <v>0.5</v>
      </c>
      <c r="AF8" s="35" t="n">
        <v>0.428571428571429</v>
      </c>
      <c r="AG8" s="35" t="n">
        <v>0.25</v>
      </c>
    </row>
    <row r="9" customFormat="false" ht="15" hidden="false" customHeight="true" outlineLevel="0" collapsed="false">
      <c r="B9" s="38" t="s">
        <v>110</v>
      </c>
      <c r="C9" s="39" t="n">
        <f aca="false">IFERROR(VLOOKUP($D$5,$O$1:$AG$20,4,FALSE()),"-")</f>
        <v>4</v>
      </c>
      <c r="O9" s="33" t="s">
        <v>34</v>
      </c>
      <c r="P9" s="34" t="s">
        <v>116</v>
      </c>
      <c r="Q9" s="34" t="n">
        <v>4</v>
      </c>
      <c r="R9" s="34" t="n">
        <v>2</v>
      </c>
      <c r="S9" s="34" t="n">
        <v>18.4</v>
      </c>
      <c r="T9" s="34" t="n">
        <v>0</v>
      </c>
      <c r="U9" s="34" t="n">
        <v>2</v>
      </c>
      <c r="V9" s="34" t="n">
        <v>0</v>
      </c>
      <c r="W9" s="34" t="n">
        <v>0</v>
      </c>
      <c r="X9" s="34" t="n">
        <v>2</v>
      </c>
      <c r="Y9" s="34" t="n">
        <v>0</v>
      </c>
      <c r="Z9" s="34" t="n">
        <v>6</v>
      </c>
      <c r="AA9" s="34" t="n">
        <v>0</v>
      </c>
      <c r="AB9" s="34" t="n">
        <v>2</v>
      </c>
      <c r="AC9" s="34" t="n">
        <v>3</v>
      </c>
      <c r="AD9" s="34" t="n">
        <v>4</v>
      </c>
      <c r="AE9" s="35" t="n">
        <v>0</v>
      </c>
      <c r="AF9" s="35" t="n">
        <v>0</v>
      </c>
      <c r="AG9" s="35" t="n">
        <v>0.75</v>
      </c>
    </row>
    <row r="10" customFormat="false" ht="15" hidden="false" customHeight="true" outlineLevel="0" collapsed="false">
      <c r="B10" s="38" t="s">
        <v>130</v>
      </c>
      <c r="C10" s="39" t="n">
        <f aca="false">IFERROR(VLOOKUP($D$5,$O$1:$AG$20,5,FALSE()),"-")</f>
        <v>41.9</v>
      </c>
      <c r="O10" s="33" t="s">
        <v>127</v>
      </c>
      <c r="P10" s="34" t="s">
        <v>116</v>
      </c>
      <c r="Q10" s="34" t="n">
        <v>4</v>
      </c>
      <c r="R10" s="34" t="n">
        <v>1</v>
      </c>
      <c r="S10" s="34" t="n">
        <v>10.5</v>
      </c>
      <c r="T10" s="34" t="n">
        <v>0</v>
      </c>
      <c r="U10" s="34" t="n">
        <v>1</v>
      </c>
      <c r="V10" s="34" t="n">
        <v>2</v>
      </c>
      <c r="W10" s="34" t="n">
        <v>0</v>
      </c>
      <c r="X10" s="34" t="n">
        <v>0</v>
      </c>
      <c r="Y10" s="34" t="n">
        <v>0</v>
      </c>
      <c r="Z10" s="34" t="n">
        <v>2</v>
      </c>
      <c r="AA10" s="34" t="n">
        <v>0</v>
      </c>
      <c r="AB10" s="34" t="n">
        <v>1</v>
      </c>
      <c r="AC10" s="34" t="n">
        <v>0</v>
      </c>
      <c r="AD10" s="34" t="n">
        <v>0</v>
      </c>
      <c r="AE10" s="35" t="n">
        <v>0</v>
      </c>
      <c r="AF10" s="35" t="n">
        <v>0</v>
      </c>
      <c r="AG10" s="35" t="n">
        <v>0</v>
      </c>
    </row>
    <row r="11" customFormat="false" ht="15" hidden="false" customHeight="true" outlineLevel="0" collapsed="false">
      <c r="O11" s="33" t="s">
        <v>119</v>
      </c>
      <c r="P11" s="34" t="s">
        <v>112</v>
      </c>
      <c r="Q11" s="34" t="n">
        <v>6</v>
      </c>
      <c r="R11" s="34" t="n">
        <v>2</v>
      </c>
      <c r="S11" s="34" t="n">
        <v>21.5</v>
      </c>
      <c r="T11" s="34" t="n">
        <v>0</v>
      </c>
      <c r="U11" s="34" t="n">
        <v>1</v>
      </c>
      <c r="V11" s="34" t="n">
        <v>5</v>
      </c>
      <c r="W11" s="34" t="n">
        <v>1</v>
      </c>
      <c r="X11" s="34" t="n">
        <v>0</v>
      </c>
      <c r="Y11" s="34" t="n">
        <v>3</v>
      </c>
      <c r="Z11" s="34" t="n">
        <v>11</v>
      </c>
      <c r="AA11" s="34" t="n">
        <v>2</v>
      </c>
      <c r="AB11" s="34" t="n">
        <v>3</v>
      </c>
      <c r="AC11" s="34" t="n">
        <v>4</v>
      </c>
      <c r="AD11" s="34" t="n">
        <v>4</v>
      </c>
      <c r="AE11" s="35" t="n">
        <v>0.2</v>
      </c>
      <c r="AF11" s="35" t="n">
        <v>0.666666666666667</v>
      </c>
      <c r="AG11" s="35" t="n">
        <v>1</v>
      </c>
    </row>
    <row r="12" customFormat="false" ht="15" hidden="false" customHeight="true" outlineLevel="0" collapsed="false">
      <c r="B12" s="40" t="s">
        <v>141</v>
      </c>
      <c r="C12" s="40"/>
      <c r="D12" s="40"/>
      <c r="O12" s="33" t="s">
        <v>120</v>
      </c>
      <c r="P12" s="34" t="s">
        <v>114</v>
      </c>
      <c r="Q12" s="34" t="n">
        <v>7</v>
      </c>
      <c r="R12" s="34" t="n">
        <v>2</v>
      </c>
      <c r="S12" s="34" t="n">
        <v>26.5</v>
      </c>
      <c r="T12" s="34" t="n">
        <v>1</v>
      </c>
      <c r="U12" s="34" t="n">
        <v>0</v>
      </c>
      <c r="V12" s="34" t="n">
        <v>10</v>
      </c>
      <c r="W12" s="34" t="n">
        <v>7</v>
      </c>
      <c r="X12" s="34" t="n">
        <v>2</v>
      </c>
      <c r="Y12" s="34" t="n">
        <v>3</v>
      </c>
      <c r="Z12" s="34" t="n">
        <v>5</v>
      </c>
      <c r="AA12" s="34" t="n">
        <v>0</v>
      </c>
      <c r="AB12" s="34" t="n">
        <v>1</v>
      </c>
      <c r="AC12" s="34" t="n">
        <v>0</v>
      </c>
      <c r="AD12" s="34" t="n">
        <v>0</v>
      </c>
      <c r="AE12" s="35" t="n">
        <v>0.7</v>
      </c>
      <c r="AF12" s="35" t="n">
        <v>0</v>
      </c>
      <c r="AG12" s="35" t="n">
        <v>0</v>
      </c>
    </row>
    <row r="13" customFormat="false" ht="15" hidden="false" customHeight="true" outlineLevel="0" collapsed="false">
      <c r="B13" s="41" t="s">
        <v>18</v>
      </c>
      <c r="C13" s="42" t="n">
        <f aca="false">IFERROR(VLOOKUP($D$5,$O$1:$AG$20,6,FALSE()),"-")</f>
        <v>2</v>
      </c>
      <c r="O13" s="33" t="s">
        <v>40</v>
      </c>
      <c r="P13" s="34" t="s">
        <v>114</v>
      </c>
      <c r="Q13" s="34" t="n">
        <v>10</v>
      </c>
      <c r="R13" s="34" t="n">
        <v>4</v>
      </c>
      <c r="S13" s="34" t="n">
        <v>60.4</v>
      </c>
      <c r="T13" s="34" t="n">
        <v>0</v>
      </c>
      <c r="U13" s="34" t="n">
        <v>1</v>
      </c>
      <c r="V13" s="34" t="n">
        <v>8</v>
      </c>
      <c r="W13" s="34" t="n">
        <v>3</v>
      </c>
      <c r="X13" s="34" t="n">
        <v>10</v>
      </c>
      <c r="Y13" s="34" t="n">
        <v>5</v>
      </c>
      <c r="Z13" s="34" t="n">
        <v>26</v>
      </c>
      <c r="AA13" s="34" t="n">
        <v>1</v>
      </c>
      <c r="AB13" s="34" t="n">
        <v>9</v>
      </c>
      <c r="AC13" s="34" t="n">
        <v>1</v>
      </c>
      <c r="AD13" s="34" t="n">
        <v>5</v>
      </c>
      <c r="AE13" s="35" t="n">
        <v>0.375</v>
      </c>
      <c r="AF13" s="35" t="n">
        <v>0.111111111111111</v>
      </c>
      <c r="AG13" s="35" t="n">
        <v>0.2</v>
      </c>
    </row>
    <row r="14" customFormat="false" ht="15" hidden="false" customHeight="true" outlineLevel="0" collapsed="false">
      <c r="B14" s="43" t="s">
        <v>142</v>
      </c>
      <c r="C14" s="44" t="n">
        <f aca="false">IFERROR(VLOOKUP($D$5,$O$1:$AG$20,7,FALSE()),"-")</f>
        <v>1</v>
      </c>
      <c r="O14" s="33" t="s">
        <v>121</v>
      </c>
      <c r="P14" s="34" t="s">
        <v>114</v>
      </c>
      <c r="Q14" s="34" t="n">
        <v>13</v>
      </c>
      <c r="R14" s="34" t="n">
        <v>2</v>
      </c>
      <c r="S14" s="34" t="n">
        <v>27.6</v>
      </c>
      <c r="T14" s="34" t="n">
        <v>1</v>
      </c>
      <c r="U14" s="34" t="n">
        <v>0</v>
      </c>
      <c r="V14" s="34" t="n">
        <v>5</v>
      </c>
      <c r="W14" s="34" t="n">
        <v>2</v>
      </c>
      <c r="X14" s="34" t="n">
        <v>2</v>
      </c>
      <c r="Y14" s="34" t="n">
        <v>2</v>
      </c>
      <c r="Z14" s="34" t="n">
        <v>12</v>
      </c>
      <c r="AA14" s="34" t="n">
        <v>0</v>
      </c>
      <c r="AB14" s="34" t="n">
        <v>2</v>
      </c>
      <c r="AC14" s="34" t="n">
        <v>5</v>
      </c>
      <c r="AD14" s="34" t="n">
        <v>7</v>
      </c>
      <c r="AE14" s="35" t="n">
        <v>0.4</v>
      </c>
      <c r="AF14" s="35" t="n">
        <v>0</v>
      </c>
      <c r="AG14" s="35" t="n">
        <v>0.714285714285714</v>
      </c>
    </row>
    <row r="15" customFormat="false" ht="15" hidden="false" customHeight="true" outlineLevel="0" collapsed="false">
      <c r="B15" s="41" t="s">
        <v>37</v>
      </c>
      <c r="C15" s="42" t="n">
        <f aca="false">IFERROR(VLOOKUP($D$5,$O$1:$AG$20,8,FALSE()),"-")</f>
        <v>6</v>
      </c>
      <c r="O15" s="33" t="s">
        <v>115</v>
      </c>
      <c r="P15" s="34" t="s">
        <v>116</v>
      </c>
      <c r="Q15" s="34" t="n">
        <v>14</v>
      </c>
      <c r="R15" s="34" t="n">
        <v>4</v>
      </c>
      <c r="S15" s="34" t="n">
        <v>54.5</v>
      </c>
      <c r="T15" s="34" t="n">
        <v>1</v>
      </c>
      <c r="U15" s="34" t="n">
        <v>0</v>
      </c>
      <c r="V15" s="34" t="n">
        <v>9</v>
      </c>
      <c r="W15" s="34" t="n">
        <v>4</v>
      </c>
      <c r="X15" s="34" t="n">
        <v>3</v>
      </c>
      <c r="Y15" s="34" t="n">
        <v>7</v>
      </c>
      <c r="Z15" s="34" t="n">
        <v>13</v>
      </c>
      <c r="AA15" s="34" t="n">
        <v>1</v>
      </c>
      <c r="AB15" s="34" t="n">
        <v>2</v>
      </c>
      <c r="AC15" s="34" t="n">
        <v>2</v>
      </c>
      <c r="AD15" s="34" t="n">
        <v>3</v>
      </c>
      <c r="AE15" s="35" t="n">
        <v>0.444444444444444</v>
      </c>
      <c r="AF15" s="35" t="n">
        <v>0.5</v>
      </c>
      <c r="AG15" s="35" t="n">
        <v>0.666666666666667</v>
      </c>
    </row>
    <row r="16" customFormat="false" ht="15" hidden="false" customHeight="true" outlineLevel="0" collapsed="false">
      <c r="B16" s="43" t="s">
        <v>143</v>
      </c>
      <c r="C16" s="44" t="n">
        <f aca="false">IFERROR(VLOOKUP($D$5,$O$1:$AG$20,9,FALSE()),"-")</f>
        <v>4</v>
      </c>
      <c r="O16" s="33" t="s">
        <v>122</v>
      </c>
      <c r="P16" s="34" t="s">
        <v>114</v>
      </c>
      <c r="Q16" s="34" t="n">
        <v>17</v>
      </c>
      <c r="R16" s="34" t="n">
        <v>2</v>
      </c>
      <c r="S16" s="34" t="n">
        <v>20.6</v>
      </c>
      <c r="T16" s="34" t="n">
        <v>1</v>
      </c>
      <c r="U16" s="34" t="n">
        <v>0</v>
      </c>
      <c r="V16" s="34" t="n">
        <v>2</v>
      </c>
      <c r="W16" s="34" t="n">
        <v>2</v>
      </c>
      <c r="X16" s="34" t="n">
        <v>2</v>
      </c>
      <c r="Y16" s="34" t="n">
        <v>2</v>
      </c>
      <c r="Z16" s="34" t="n">
        <v>13</v>
      </c>
      <c r="AA16" s="34" t="n">
        <v>0</v>
      </c>
      <c r="AB16" s="34" t="n">
        <v>4</v>
      </c>
      <c r="AC16" s="34" t="n">
        <v>2</v>
      </c>
      <c r="AD16" s="34" t="n">
        <v>4</v>
      </c>
      <c r="AE16" s="35" t="n">
        <v>1</v>
      </c>
      <c r="AF16" s="35" t="n">
        <v>0</v>
      </c>
      <c r="AG16" s="35" t="n">
        <v>0.5</v>
      </c>
    </row>
    <row r="17" customFormat="false" ht="15" hidden="false" customHeight="true" outlineLevel="0" collapsed="false">
      <c r="B17" s="41" t="s">
        <v>144</v>
      </c>
      <c r="C17" s="45" t="n">
        <f aca="false">IFERROR(VLOOKUP($D$5,$O$1:$AG$20,17,FALSE()),"-")</f>
        <v>0.666666666666667</v>
      </c>
      <c r="O17" s="33" t="s">
        <v>123</v>
      </c>
      <c r="P17" s="34" t="s">
        <v>112</v>
      </c>
      <c r="Q17" s="34" t="n">
        <v>2</v>
      </c>
      <c r="R17" s="34" t="n">
        <v>2</v>
      </c>
      <c r="S17" s="34" t="n">
        <v>11.9</v>
      </c>
      <c r="T17" s="34" t="n">
        <v>0</v>
      </c>
      <c r="U17" s="34" t="n">
        <v>0</v>
      </c>
      <c r="V17" s="34" t="n">
        <v>0</v>
      </c>
      <c r="W17" s="34" t="n">
        <v>0</v>
      </c>
      <c r="X17" s="34" t="n">
        <v>0</v>
      </c>
      <c r="Y17" s="34" t="n">
        <v>1</v>
      </c>
      <c r="Z17" s="34" t="n">
        <v>2</v>
      </c>
      <c r="AA17" s="34" t="n">
        <v>0</v>
      </c>
      <c r="AB17" s="34" t="n">
        <v>0</v>
      </c>
      <c r="AC17" s="34" t="n">
        <v>0</v>
      </c>
      <c r="AD17" s="34" t="n">
        <v>0</v>
      </c>
      <c r="AE17" s="35" t="n">
        <v>0</v>
      </c>
      <c r="AF17" s="35" t="n">
        <v>0</v>
      </c>
      <c r="AG17" s="35" t="n">
        <v>0</v>
      </c>
    </row>
    <row r="18" customFormat="false" ht="15" hidden="false" customHeight="true" outlineLevel="0" collapsed="false">
      <c r="O18" s="33" t="s">
        <v>124</v>
      </c>
      <c r="P18" s="34" t="s">
        <v>116</v>
      </c>
      <c r="Q18" s="34" t="n">
        <v>7</v>
      </c>
      <c r="R18" s="34" t="n">
        <v>2</v>
      </c>
      <c r="S18" s="34" t="n">
        <v>26.1</v>
      </c>
      <c r="T18" s="34" t="n">
        <v>0</v>
      </c>
      <c r="U18" s="34" t="n">
        <v>0</v>
      </c>
      <c r="V18" s="34" t="n">
        <v>8</v>
      </c>
      <c r="W18" s="34" t="n">
        <v>1</v>
      </c>
      <c r="X18" s="34" t="n">
        <v>2</v>
      </c>
      <c r="Y18" s="34" t="n">
        <v>6</v>
      </c>
      <c r="Z18" s="34" t="n">
        <v>11</v>
      </c>
      <c r="AA18" s="34" t="n">
        <v>1</v>
      </c>
      <c r="AB18" s="34" t="n">
        <v>2</v>
      </c>
      <c r="AC18" s="34" t="n">
        <v>1</v>
      </c>
      <c r="AD18" s="34" t="n">
        <v>2</v>
      </c>
      <c r="AE18" s="35" t="n">
        <v>0.125</v>
      </c>
      <c r="AF18" s="35" t="n">
        <v>0.5</v>
      </c>
      <c r="AG18" s="35" t="n">
        <v>0.5</v>
      </c>
    </row>
    <row r="19" customFormat="false" ht="15" hidden="false" customHeight="true" outlineLevel="0" collapsed="false">
      <c r="B19" s="46" t="s">
        <v>145</v>
      </c>
      <c r="C19" s="46"/>
      <c r="D19" s="46"/>
      <c r="O19" s="33" t="s">
        <v>125</v>
      </c>
      <c r="P19" s="34" t="s">
        <v>113</v>
      </c>
      <c r="Q19" s="34" t="n">
        <v>9</v>
      </c>
      <c r="R19" s="34" t="n">
        <v>2</v>
      </c>
      <c r="S19" s="34" t="n">
        <v>18.9</v>
      </c>
      <c r="T19" s="34" t="n">
        <v>0</v>
      </c>
      <c r="U19" s="34" t="n">
        <v>0</v>
      </c>
      <c r="V19" s="34" t="n">
        <v>4</v>
      </c>
      <c r="W19" s="34" t="n">
        <v>1</v>
      </c>
      <c r="X19" s="34" t="n">
        <v>0</v>
      </c>
      <c r="Y19" s="34" t="n">
        <v>1</v>
      </c>
      <c r="Z19" s="34" t="n">
        <v>10</v>
      </c>
      <c r="AA19" s="34" t="n">
        <v>3</v>
      </c>
      <c r="AB19" s="34" t="n">
        <v>7</v>
      </c>
      <c r="AC19" s="34" t="n">
        <v>4</v>
      </c>
      <c r="AD19" s="34" t="n">
        <v>4</v>
      </c>
      <c r="AE19" s="35" t="n">
        <v>0.25</v>
      </c>
      <c r="AF19" s="35" t="n">
        <v>0.428571428571429</v>
      </c>
      <c r="AG19" s="35" t="n">
        <v>1</v>
      </c>
    </row>
    <row r="20" customFormat="false" ht="15" hidden="false" customHeight="true" outlineLevel="0" collapsed="false">
      <c r="B20" s="41" t="s">
        <v>55</v>
      </c>
      <c r="C20" s="42" t="n">
        <f aca="false">IFERROR(VLOOKUP($D$5,$O$1:$AG$20,10,FALSE()),"-")</f>
        <v>8</v>
      </c>
      <c r="O20" s="33" t="s">
        <v>126</v>
      </c>
      <c r="P20" s="34" t="s">
        <v>116</v>
      </c>
      <c r="Q20" s="34" t="n">
        <v>13</v>
      </c>
      <c r="R20" s="34" t="n">
        <v>2</v>
      </c>
      <c r="S20" s="34" t="n">
        <v>23.5</v>
      </c>
      <c r="T20" s="34" t="n">
        <v>0</v>
      </c>
      <c r="U20" s="34" t="n">
        <v>0</v>
      </c>
      <c r="V20" s="34" t="n">
        <v>10</v>
      </c>
      <c r="W20" s="34" t="n">
        <v>5</v>
      </c>
      <c r="X20" s="34" t="n">
        <v>0</v>
      </c>
      <c r="Y20" s="34" t="n">
        <v>2</v>
      </c>
      <c r="Z20" s="34" t="n">
        <v>4</v>
      </c>
      <c r="AA20" s="34" t="n">
        <v>1</v>
      </c>
      <c r="AB20" s="34" t="n">
        <v>1</v>
      </c>
      <c r="AC20" s="34" t="n">
        <v>3</v>
      </c>
      <c r="AD20" s="34" t="n">
        <v>3</v>
      </c>
      <c r="AE20" s="35" t="n">
        <v>0.5</v>
      </c>
      <c r="AF20" s="35" t="n">
        <v>1</v>
      </c>
      <c r="AG20" s="35" t="n">
        <v>1</v>
      </c>
    </row>
    <row r="21" customFormat="false" ht="15" hidden="false" customHeight="true" outlineLevel="0" collapsed="false">
      <c r="B21" s="47" t="s">
        <v>57</v>
      </c>
      <c r="C21" s="48" t="n">
        <f aca="false">IFERROR(VLOOKUP($D$5,$O$1:$AG$20,11,FALSE()),"-")</f>
        <v>5</v>
      </c>
    </row>
    <row r="22" customFormat="false" ht="15" hidden="false" customHeight="true" outlineLevel="0" collapsed="false">
      <c r="B22" s="41" t="s">
        <v>111</v>
      </c>
      <c r="C22" s="42" t="n">
        <f aca="false">IFERROR(VLOOKUP($D$5,$O$1:$AG$20,12,FALSE()),"-")</f>
        <v>29</v>
      </c>
    </row>
    <row r="23" customFormat="false" ht="15" hidden="false" customHeight="true" outlineLevel="0" collapsed="false">
      <c r="B23" s="47" t="s">
        <v>146</v>
      </c>
      <c r="C23" s="48" t="n">
        <f aca="false">IFERROR(VLOOKUP($D$5,$O$1:$AG$20,13,FALSE()),"-")</f>
        <v>10</v>
      </c>
    </row>
    <row r="24" customFormat="false" ht="15" hidden="false" customHeight="true" outlineLevel="0" collapsed="false">
      <c r="B24" s="41" t="s">
        <v>147</v>
      </c>
      <c r="C24" s="42" t="n">
        <f aca="false">IFERROR(VLOOKUP($D$5,$O$1:$AG$20,14,FALSE()),"-")</f>
        <v>20</v>
      </c>
    </row>
    <row r="25" customFormat="false" ht="15" hidden="false" customHeight="true" outlineLevel="0" collapsed="false">
      <c r="B25" s="47" t="s">
        <v>148</v>
      </c>
      <c r="C25" s="48" t="n">
        <f aca="false">IFERROR(VLOOKUP($D$5,$O$1:$AG$20,15,FALSE()),"-")</f>
        <v>5</v>
      </c>
    </row>
    <row r="26" customFormat="false" ht="15" hidden="false" customHeight="true" outlineLevel="0" collapsed="false">
      <c r="B26" s="41" t="s">
        <v>149</v>
      </c>
      <c r="C26" s="42" t="n">
        <f aca="false">IFERROR(VLOOKUP($D$5,$O$1:$AG$20,16,FALSE()),"-")</f>
        <v>6</v>
      </c>
    </row>
    <row r="27" customFormat="false" ht="15" hidden="false" customHeight="true" outlineLevel="0" collapsed="false">
      <c r="B27" s="47" t="s">
        <v>150</v>
      </c>
      <c r="C27" s="49" t="n">
        <f aca="false">IFERROR(VLOOKUP($D$5,$O$1:$AG$20,18,FALSE()),"-")</f>
        <v>0.5</v>
      </c>
    </row>
    <row r="28" customFormat="false" ht="15" hidden="false" customHeight="true" outlineLevel="0" collapsed="false">
      <c r="B28" s="41" t="s">
        <v>151</v>
      </c>
      <c r="C28" s="45" t="n">
        <f aca="false">IFERROR(VLOOKUP($D$5,$O$1:$AG$20,19,FALSE()),"-")</f>
        <v>0.833333333333333</v>
      </c>
    </row>
    <row r="32" customFormat="false" ht="15" hidden="false" customHeight="true" outlineLevel="0" collapsed="false">
      <c r="B32" s="1" t="s">
        <v>152</v>
      </c>
      <c r="C32" s="1" t="s">
        <v>108</v>
      </c>
      <c r="D32" s="1" t="s">
        <v>153</v>
      </c>
    </row>
    <row r="33" customFormat="false" ht="15" hidden="false" customHeight="true" outlineLevel="0" collapsed="false">
      <c r="B33" s="1" t="s">
        <v>18</v>
      </c>
      <c r="C33" s="1" t="n">
        <f aca="false">IFERROR(VLOOKUP($D$5,$O$1:$AG$20,6,FALSE()),0)</f>
        <v>2</v>
      </c>
      <c r="D33" s="1" t="n">
        <v>0.8</v>
      </c>
    </row>
    <row r="34" customFormat="false" ht="15" hidden="false" customHeight="true" outlineLevel="0" collapsed="false">
      <c r="B34" s="1" t="s">
        <v>20</v>
      </c>
      <c r="C34" s="1" t="n">
        <f aca="false">IFERROR(VLOOKUP($D$5,$O$1:$AG$20,7,FALSE()),0)</f>
        <v>1</v>
      </c>
      <c r="D34" s="1" t="n">
        <v>0.7</v>
      </c>
    </row>
    <row r="35" customFormat="false" ht="15" hidden="false" customHeight="true" outlineLevel="0" collapsed="false">
      <c r="B35" s="1" t="s">
        <v>37</v>
      </c>
      <c r="C35" s="1" t="n">
        <f aca="false">IFERROR(VLOOKUP($D$5,$O$1:$AG$20,8,FALSE()),0)</f>
        <v>6</v>
      </c>
      <c r="D35" s="1" t="n">
        <v>9.9</v>
      </c>
    </row>
    <row r="36" customFormat="false" ht="15" hidden="false" customHeight="true" outlineLevel="0" collapsed="false">
      <c r="B36" s="1" t="s">
        <v>54</v>
      </c>
      <c r="C36" s="1" t="n">
        <f aca="false">IFERROR(VLOOKUP($D$5,$O$1:$AG$20,10,FALSE()),0)</f>
        <v>8</v>
      </c>
      <c r="D36" s="1" t="n">
        <v>3.8</v>
      </c>
    </row>
    <row r="37" customFormat="false" ht="15" hidden="false" customHeight="true" outlineLevel="0" collapsed="false">
      <c r="B37" s="1" t="s">
        <v>56</v>
      </c>
      <c r="C37" s="1" t="n">
        <f aca="false">IFERROR(VLOOKUP($D$5,$O$1:$AG$20,11,FALSE()),0)</f>
        <v>5</v>
      </c>
      <c r="D37" s="1" t="n">
        <v>3.2</v>
      </c>
    </row>
    <row r="38" customFormat="false" ht="15" hidden="false" customHeight="true" outlineLevel="0" collapsed="false">
      <c r="B38" s="1" t="s">
        <v>111</v>
      </c>
      <c r="C38" s="1" t="n">
        <f aca="false">IFERROR(VLOOKUP($D$5,$O$1:$AG$20,12,FALSE()),0)</f>
        <v>29</v>
      </c>
      <c r="D38" s="1" t="n">
        <v>14.3</v>
      </c>
    </row>
  </sheetData>
  <mergeCells count="3">
    <mergeCell ref="A1:L2"/>
    <mergeCell ref="B12:D12"/>
    <mergeCell ref="B19:D19"/>
  </mergeCells>
  <dataValidations count="1">
    <dataValidation allowBlank="false" errorStyle="stop" operator="between" showDropDown="false" showErrorMessage="false" showInputMessage="false" sqref="D5" type="list">
      <formula1>"A. HENRY,E. MOHAMED,F. BADAD,F. SIMIAND,H. BRAGUE,I. BERRADA,K. DA ROCHA,L. LADIRE,L. RAHO MOUSSA,M. TRAORE,O. KAMISSOKO,R. HOUMADI,R. SNOUSSI,S. AGUENGUI,S. CARFACHE,S. LALAYMIA,T. FERREIRA,Y. EL KAIM BILLAH,Z. CHAKRI"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2939"/>
    <pageSetUpPr fitToPage="false"/>
  </sheetPr>
  <dimension ref="A1:R83"/>
  <sheetViews>
    <sheetView showFormulas="false" showGridLines="true" showRowColHeaders="true" showZeros="true" rightToLeft="false" tabSelected="false" showOutlineSymbols="true" defaultGridColor="true" view="normal" topLeftCell="A4" colorId="64" zoomScale="45" zoomScaleNormal="45" zoomScalePageLayoutView="100" workbookViewId="0">
      <selection pane="topLeft" activeCell="F40" activeCellId="1" sqref="K3:M3 F4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"/>
    <col collapsed="false" customWidth="true" hidden="false" outlineLevel="0" max="3" min="3" style="1" width="12"/>
    <col collapsed="false" customWidth="true" hidden="false" outlineLevel="0" max="4" min="4" style="1" width="8"/>
    <col collapsed="false" customWidth="true" hidden="false" outlineLevel="0" max="7" min="5" style="1" width="7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1" min="10" style="1" width="9"/>
    <col collapsed="false" customWidth="true" hidden="false" outlineLevel="0" max="13" min="12" style="1" width="10"/>
    <col collapsed="false" customWidth="true" hidden="false" outlineLevel="0" max="15" min="14" style="1" width="9"/>
    <col collapsed="false" customWidth="true" hidden="false" outlineLevel="0" max="19" min="16" style="1" width="10"/>
    <col collapsed="false" customWidth="false" hidden="false" outlineLevel="0" max="16384" min="20" style="1" width="8.68"/>
  </cols>
  <sheetData>
    <row r="1" customFormat="false" ht="15" hidden="false" customHeight="true" outlineLevel="0" collapsed="false">
      <c r="A1" s="24" t="s">
        <v>154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customFormat="false" ht="15" hidden="false" customHeight="true" outlineLevel="0" collapsed="false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5" customFormat="false" ht="30" hidden="false" customHeight="true" outlineLevel="0" collapsed="false">
      <c r="A5" s="50" t="s">
        <v>155</v>
      </c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customFormat="false" ht="15" hidden="false" customHeight="true" outlineLevel="0" collapsed="false">
      <c r="A6" s="26" t="s">
        <v>108</v>
      </c>
      <c r="B6" s="26" t="s">
        <v>43</v>
      </c>
      <c r="C6" s="26" t="s">
        <v>109</v>
      </c>
      <c r="D6" s="26" t="s">
        <v>156</v>
      </c>
      <c r="E6" s="26" t="s">
        <v>18</v>
      </c>
      <c r="F6" s="26" t="s">
        <v>20</v>
      </c>
      <c r="G6" s="26" t="s">
        <v>37</v>
      </c>
      <c r="H6" s="26" t="s">
        <v>50</v>
      </c>
      <c r="I6" s="26" t="s">
        <v>54</v>
      </c>
      <c r="J6" s="26" t="s">
        <v>56</v>
      </c>
      <c r="K6" s="26" t="s">
        <v>111</v>
      </c>
      <c r="L6" s="26" t="s">
        <v>70</v>
      </c>
      <c r="M6" s="26" t="s">
        <v>72</v>
      </c>
      <c r="N6" s="26" t="s">
        <v>74</v>
      </c>
      <c r="O6" s="26" t="s">
        <v>76</v>
      </c>
      <c r="P6" s="26" t="s">
        <v>78</v>
      </c>
      <c r="Q6" s="26" t="s">
        <v>80</v>
      </c>
      <c r="R6" s="26" t="s">
        <v>82</v>
      </c>
    </row>
    <row r="7" customFormat="false" ht="15" hidden="false" customHeight="true" outlineLevel="0" collapsed="false">
      <c r="A7" s="11" t="s">
        <v>25</v>
      </c>
      <c r="B7" s="11" t="n">
        <v>11</v>
      </c>
      <c r="C7" s="11" t="s">
        <v>113</v>
      </c>
      <c r="D7" s="11" t="s">
        <v>157</v>
      </c>
      <c r="E7" s="11" t="n">
        <v>0</v>
      </c>
      <c r="F7" s="11" t="n">
        <v>1</v>
      </c>
      <c r="G7" s="11" t="n">
        <v>9</v>
      </c>
      <c r="H7" s="11" t="n">
        <v>6</v>
      </c>
      <c r="I7" s="11" t="n">
        <v>3</v>
      </c>
      <c r="J7" s="11" t="n">
        <v>2</v>
      </c>
      <c r="K7" s="11" t="n">
        <v>16</v>
      </c>
      <c r="L7" s="11" t="s">
        <v>158</v>
      </c>
      <c r="M7" s="11" t="s">
        <v>159</v>
      </c>
      <c r="N7" s="11" t="n">
        <v>0</v>
      </c>
      <c r="O7" s="11" t="n">
        <v>0</v>
      </c>
      <c r="P7" s="11" t="n">
        <v>1</v>
      </c>
      <c r="Q7" s="11" t="n">
        <v>6</v>
      </c>
      <c r="R7" s="11" t="n">
        <v>1</v>
      </c>
    </row>
    <row r="8" customFormat="false" ht="15" hidden="false" customHeight="true" outlineLevel="0" collapsed="false">
      <c r="A8" s="14" t="s">
        <v>24</v>
      </c>
      <c r="B8" s="14" t="n">
        <v>8</v>
      </c>
      <c r="C8" s="14" t="s">
        <v>112</v>
      </c>
      <c r="D8" s="14" t="s">
        <v>160</v>
      </c>
      <c r="E8" s="51" t="n">
        <v>1</v>
      </c>
      <c r="F8" s="14" t="n">
        <v>0</v>
      </c>
      <c r="G8" s="14" t="n">
        <v>4</v>
      </c>
      <c r="H8" s="14" t="n">
        <v>3</v>
      </c>
      <c r="I8" s="14" t="n">
        <v>1</v>
      </c>
      <c r="J8" s="14" t="n">
        <v>4</v>
      </c>
      <c r="K8" s="14" t="n">
        <v>5</v>
      </c>
      <c r="L8" s="14" t="s">
        <v>159</v>
      </c>
      <c r="M8" s="14" t="s">
        <v>161</v>
      </c>
      <c r="N8" s="14" t="n">
        <v>1</v>
      </c>
      <c r="O8" s="14" t="n">
        <v>3</v>
      </c>
      <c r="P8" s="14" t="n">
        <v>1</v>
      </c>
      <c r="Q8" s="14" t="n">
        <v>2</v>
      </c>
      <c r="R8" s="14" t="n">
        <v>1</v>
      </c>
    </row>
    <row r="9" customFormat="false" ht="15" hidden="false" customHeight="true" outlineLevel="0" collapsed="false">
      <c r="A9" s="11" t="s">
        <v>118</v>
      </c>
      <c r="B9" s="11" t="n">
        <v>2</v>
      </c>
      <c r="C9" s="11" t="s">
        <v>113</v>
      </c>
      <c r="D9" s="11" t="s">
        <v>162</v>
      </c>
      <c r="E9" s="12" t="n">
        <v>1</v>
      </c>
      <c r="F9" s="11" t="n">
        <v>1</v>
      </c>
      <c r="G9" s="11" t="n">
        <v>4</v>
      </c>
      <c r="H9" s="11" t="n">
        <v>2</v>
      </c>
      <c r="I9" s="11" t="n">
        <v>2</v>
      </c>
      <c r="J9" s="11" t="n">
        <v>1</v>
      </c>
      <c r="K9" s="11" t="n">
        <v>6</v>
      </c>
      <c r="L9" s="11" t="s">
        <v>161</v>
      </c>
      <c r="M9" s="11" t="s">
        <v>158</v>
      </c>
      <c r="N9" s="11" t="n">
        <v>0</v>
      </c>
      <c r="O9" s="11" t="n">
        <v>0</v>
      </c>
      <c r="P9" s="11" t="n">
        <v>0</v>
      </c>
      <c r="Q9" s="11" t="n">
        <v>4</v>
      </c>
      <c r="R9" s="11" t="n">
        <v>0</v>
      </c>
    </row>
    <row r="10" customFormat="false" ht="15" hidden="false" customHeight="true" outlineLevel="0" collapsed="false">
      <c r="A10" s="14" t="s">
        <v>120</v>
      </c>
      <c r="B10" s="14" t="n">
        <v>7</v>
      </c>
      <c r="C10" s="14" t="s">
        <v>114</v>
      </c>
      <c r="D10" s="14" t="s">
        <v>163</v>
      </c>
      <c r="E10" s="51" t="n">
        <v>1</v>
      </c>
      <c r="F10" s="14" t="n">
        <v>0</v>
      </c>
      <c r="G10" s="14" t="n">
        <v>7</v>
      </c>
      <c r="H10" s="14" t="n">
        <v>5</v>
      </c>
      <c r="I10" s="14" t="n">
        <v>1</v>
      </c>
      <c r="J10" s="14" t="n">
        <v>2</v>
      </c>
      <c r="K10" s="14" t="n">
        <v>4</v>
      </c>
      <c r="L10" s="14" t="s">
        <v>164</v>
      </c>
      <c r="M10" s="14" t="s">
        <v>165</v>
      </c>
      <c r="N10" s="14" t="n">
        <v>2</v>
      </c>
      <c r="O10" s="14" t="n">
        <v>0</v>
      </c>
      <c r="P10" s="14" t="n">
        <v>0</v>
      </c>
      <c r="Q10" s="14" t="n">
        <v>2</v>
      </c>
      <c r="R10" s="14" t="n">
        <v>0</v>
      </c>
    </row>
    <row r="11" customFormat="false" ht="15" hidden="false" customHeight="true" outlineLevel="0" collapsed="false">
      <c r="A11" s="11" t="s">
        <v>27</v>
      </c>
      <c r="B11" s="11" t="n">
        <v>9</v>
      </c>
      <c r="C11" s="11" t="s">
        <v>113</v>
      </c>
      <c r="D11" s="11" t="s">
        <v>163</v>
      </c>
      <c r="E11" s="12" t="n">
        <v>1</v>
      </c>
      <c r="F11" s="11" t="n">
        <v>0</v>
      </c>
      <c r="G11" s="11" t="n">
        <v>7</v>
      </c>
      <c r="H11" s="11" t="n">
        <v>4</v>
      </c>
      <c r="I11" s="11" t="n">
        <v>0</v>
      </c>
      <c r="J11" s="11" t="n">
        <v>1</v>
      </c>
      <c r="K11" s="11" t="n">
        <v>4</v>
      </c>
      <c r="L11" s="11" t="s">
        <v>166</v>
      </c>
      <c r="M11" s="11" t="s">
        <v>165</v>
      </c>
      <c r="N11" s="11" t="n">
        <v>1</v>
      </c>
      <c r="O11" s="11" t="n">
        <v>2</v>
      </c>
      <c r="P11" s="11" t="n">
        <v>0</v>
      </c>
      <c r="Q11" s="11" t="n">
        <v>0</v>
      </c>
      <c r="R11" s="11" t="n">
        <v>0</v>
      </c>
    </row>
    <row r="12" customFormat="false" ht="15" hidden="false" customHeight="true" outlineLevel="0" collapsed="false">
      <c r="A12" s="14" t="s">
        <v>40</v>
      </c>
      <c r="B12" s="14" t="n">
        <v>10</v>
      </c>
      <c r="C12" s="14" t="s">
        <v>114</v>
      </c>
      <c r="D12" s="14" t="s">
        <v>167</v>
      </c>
      <c r="E12" s="14" t="n">
        <v>0</v>
      </c>
      <c r="F12" s="14" t="n">
        <v>0</v>
      </c>
      <c r="G12" s="14" t="n">
        <v>1</v>
      </c>
      <c r="H12" s="14" t="n">
        <v>0</v>
      </c>
      <c r="I12" s="14" t="n">
        <v>2</v>
      </c>
      <c r="J12" s="14" t="n">
        <v>1</v>
      </c>
      <c r="K12" s="14" t="n">
        <v>3</v>
      </c>
      <c r="L12" s="14" t="s">
        <v>164</v>
      </c>
      <c r="M12" s="14" t="s">
        <v>165</v>
      </c>
      <c r="N12" s="14" t="n">
        <v>0</v>
      </c>
      <c r="O12" s="14" t="n">
        <v>0</v>
      </c>
      <c r="P12" s="14" t="n">
        <v>2</v>
      </c>
      <c r="Q12" s="14" t="n">
        <v>1</v>
      </c>
      <c r="R12" s="14" t="n">
        <v>0</v>
      </c>
    </row>
    <row r="13" customFormat="false" ht="15" hidden="false" customHeight="true" outlineLevel="0" collapsed="false">
      <c r="A13" s="11" t="s">
        <v>115</v>
      </c>
      <c r="B13" s="11" t="n">
        <v>14</v>
      </c>
      <c r="C13" s="11" t="s">
        <v>116</v>
      </c>
      <c r="D13" s="11" t="s">
        <v>167</v>
      </c>
      <c r="E13" s="11" t="n">
        <v>0</v>
      </c>
      <c r="F13" s="11" t="n">
        <v>0</v>
      </c>
      <c r="G13" s="11" t="n">
        <v>2</v>
      </c>
      <c r="H13" s="11" t="n">
        <v>1</v>
      </c>
      <c r="I13" s="11" t="n">
        <v>0</v>
      </c>
      <c r="J13" s="11" t="n">
        <v>3</v>
      </c>
      <c r="K13" s="11" t="n">
        <v>3</v>
      </c>
      <c r="L13" s="11" t="s">
        <v>165</v>
      </c>
      <c r="M13" s="11" t="s">
        <v>165</v>
      </c>
      <c r="N13" s="11" t="n">
        <v>0</v>
      </c>
      <c r="O13" s="11" t="n">
        <v>0</v>
      </c>
      <c r="P13" s="11" t="n">
        <v>1</v>
      </c>
      <c r="Q13" s="11" t="n">
        <v>1</v>
      </c>
      <c r="R13" s="11" t="n">
        <v>0</v>
      </c>
    </row>
    <row r="14" customFormat="false" ht="15" hidden="false" customHeight="true" outlineLevel="0" collapsed="false">
      <c r="A14" s="14" t="s">
        <v>126</v>
      </c>
      <c r="B14" s="14" t="n">
        <v>13</v>
      </c>
      <c r="C14" s="14" t="s">
        <v>116</v>
      </c>
      <c r="D14" s="14" t="s">
        <v>168</v>
      </c>
      <c r="E14" s="14" t="n">
        <v>0</v>
      </c>
      <c r="F14" s="14" t="n">
        <v>0</v>
      </c>
      <c r="G14" s="14" t="n">
        <v>5</v>
      </c>
      <c r="H14" s="14" t="n">
        <v>4</v>
      </c>
      <c r="I14" s="14" t="n">
        <v>0</v>
      </c>
      <c r="J14" s="14" t="n">
        <v>2</v>
      </c>
      <c r="K14" s="14" t="n">
        <v>2</v>
      </c>
      <c r="L14" s="14" t="s">
        <v>169</v>
      </c>
      <c r="M14" s="14" t="s">
        <v>170</v>
      </c>
      <c r="N14" s="14" t="n">
        <v>0</v>
      </c>
      <c r="O14" s="14" t="n">
        <v>0</v>
      </c>
      <c r="P14" s="14" t="n">
        <v>1</v>
      </c>
      <c r="Q14" s="14" t="n">
        <v>1</v>
      </c>
      <c r="R14" s="14" t="n">
        <v>0</v>
      </c>
    </row>
    <row r="15" customFormat="false" ht="15" hidden="false" customHeight="true" outlineLevel="0" collapsed="false">
      <c r="A15" s="11" t="s">
        <v>119</v>
      </c>
      <c r="B15" s="11" t="n">
        <v>6</v>
      </c>
      <c r="C15" s="11" t="s">
        <v>112</v>
      </c>
      <c r="D15" s="11" t="s">
        <v>171</v>
      </c>
      <c r="E15" s="11" t="n">
        <v>0</v>
      </c>
      <c r="F15" s="11" t="n">
        <v>1</v>
      </c>
      <c r="G15" s="11" t="n">
        <v>2</v>
      </c>
      <c r="H15" s="11" t="n">
        <v>0</v>
      </c>
      <c r="I15" s="11" t="n">
        <v>0</v>
      </c>
      <c r="J15" s="11" t="n">
        <v>1</v>
      </c>
      <c r="K15" s="11" t="n">
        <v>7</v>
      </c>
      <c r="L15" s="11" t="s">
        <v>169</v>
      </c>
      <c r="M15" s="11" t="s">
        <v>169</v>
      </c>
      <c r="N15" s="11" t="n">
        <v>0</v>
      </c>
      <c r="O15" s="11" t="n">
        <v>2</v>
      </c>
      <c r="P15" s="11" t="n">
        <v>0</v>
      </c>
      <c r="Q15" s="11" t="n">
        <v>4</v>
      </c>
      <c r="R15" s="11" t="n">
        <v>0</v>
      </c>
    </row>
    <row r="16" customFormat="false" ht="15" hidden="false" customHeight="true" outlineLevel="0" collapsed="false">
      <c r="A16" s="14" t="s">
        <v>28</v>
      </c>
      <c r="B16" s="14" t="n">
        <v>3</v>
      </c>
      <c r="C16" s="14" t="s">
        <v>112</v>
      </c>
      <c r="D16" s="14" t="s">
        <v>172</v>
      </c>
      <c r="E16" s="14" t="n">
        <v>0</v>
      </c>
      <c r="F16" s="14" t="n">
        <v>0</v>
      </c>
      <c r="G16" s="14" t="n">
        <v>3</v>
      </c>
      <c r="H16" s="14" t="n">
        <v>1</v>
      </c>
      <c r="I16" s="14" t="n">
        <v>2</v>
      </c>
      <c r="J16" s="14" t="n">
        <v>1</v>
      </c>
      <c r="K16" s="14" t="n">
        <v>2</v>
      </c>
      <c r="L16" s="14" t="s">
        <v>169</v>
      </c>
      <c r="M16" s="14" t="s">
        <v>164</v>
      </c>
      <c r="N16" s="14" t="n">
        <v>2</v>
      </c>
      <c r="O16" s="14" t="n">
        <v>0</v>
      </c>
      <c r="P16" s="14" t="n">
        <v>0</v>
      </c>
      <c r="Q16" s="14" t="n">
        <v>0</v>
      </c>
      <c r="R16" s="14" t="n">
        <v>0</v>
      </c>
    </row>
    <row r="17" customFormat="false" ht="15" hidden="false" customHeight="true" outlineLevel="0" collapsed="false">
      <c r="A17" s="11" t="s">
        <v>33</v>
      </c>
      <c r="B17" s="11" t="n">
        <v>5</v>
      </c>
      <c r="C17" s="11" t="s">
        <v>113</v>
      </c>
      <c r="D17" s="11" t="s">
        <v>173</v>
      </c>
      <c r="E17" s="12" t="n">
        <v>1</v>
      </c>
      <c r="F17" s="11" t="n">
        <v>1</v>
      </c>
      <c r="G17" s="11" t="n">
        <v>1</v>
      </c>
      <c r="H17" s="11" t="n">
        <v>1</v>
      </c>
      <c r="I17" s="11" t="n">
        <v>0</v>
      </c>
      <c r="J17" s="11" t="n">
        <v>1</v>
      </c>
      <c r="K17" s="11" t="n">
        <v>8</v>
      </c>
      <c r="L17" s="11" t="s">
        <v>174</v>
      </c>
      <c r="M17" s="11" t="s">
        <v>169</v>
      </c>
      <c r="N17" s="11" t="n">
        <v>1</v>
      </c>
      <c r="O17" s="11" t="n">
        <v>1</v>
      </c>
      <c r="P17" s="11" t="n">
        <v>0</v>
      </c>
      <c r="Q17" s="11" t="n">
        <v>0</v>
      </c>
      <c r="R17" s="11" t="n">
        <v>0</v>
      </c>
    </row>
    <row r="18" customFormat="false" ht="15" hidden="false" customHeight="true" outlineLevel="0" collapsed="false">
      <c r="A18" s="52" t="s">
        <v>175</v>
      </c>
      <c r="B18" s="52"/>
      <c r="C18" s="52"/>
      <c r="D18" s="52"/>
      <c r="E18" s="52"/>
      <c r="F18" s="52"/>
      <c r="G18" s="52"/>
      <c r="H18" s="52"/>
      <c r="I18" s="52"/>
      <c r="J18" s="52"/>
    </row>
    <row r="19" customFormat="false" ht="24" hidden="false" customHeight="true" outlineLevel="0" collapsed="false">
      <c r="A19" s="53" t="s">
        <v>176</v>
      </c>
      <c r="B19" s="53" t="s">
        <v>156</v>
      </c>
      <c r="C19" s="53" t="s">
        <v>177</v>
      </c>
      <c r="D19" s="53" t="s">
        <v>178</v>
      </c>
      <c r="E19" s="53" t="s">
        <v>84</v>
      </c>
      <c r="F19" s="53" t="s">
        <v>86</v>
      </c>
      <c r="G19" s="53" t="s">
        <v>88</v>
      </c>
      <c r="H19" s="53" t="s">
        <v>90</v>
      </c>
      <c r="I19" s="53" t="s">
        <v>92</v>
      </c>
      <c r="J19" s="53" t="s">
        <v>111</v>
      </c>
    </row>
    <row r="20" customFormat="false" ht="15" hidden="false" customHeight="true" outlineLevel="0" collapsed="false">
      <c r="A20" s="11" t="s">
        <v>179</v>
      </c>
      <c r="B20" s="11" t="s">
        <v>180</v>
      </c>
      <c r="C20" s="11" t="n">
        <v>13</v>
      </c>
      <c r="D20" s="11" t="n">
        <v>3</v>
      </c>
      <c r="E20" s="11" t="n">
        <v>21</v>
      </c>
      <c r="F20" s="11" t="n">
        <v>0</v>
      </c>
      <c r="G20" s="11" t="n">
        <v>6</v>
      </c>
      <c r="H20" s="11" t="n">
        <v>5</v>
      </c>
      <c r="I20" s="54" t="n">
        <v>0.84375</v>
      </c>
      <c r="J20" s="11" t="n">
        <v>4</v>
      </c>
    </row>
    <row r="23" customFormat="false" ht="30" hidden="false" customHeight="true" outlineLevel="0" collapsed="false">
      <c r="A23" s="50" t="s">
        <v>181</v>
      </c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</row>
    <row r="24" customFormat="false" ht="15" hidden="false" customHeight="true" outlineLevel="0" collapsed="false">
      <c r="A24" s="26" t="s">
        <v>108</v>
      </c>
      <c r="B24" s="26" t="s">
        <v>43</v>
      </c>
      <c r="C24" s="26" t="s">
        <v>109</v>
      </c>
      <c r="D24" s="26" t="s">
        <v>156</v>
      </c>
      <c r="E24" s="26" t="s">
        <v>18</v>
      </c>
      <c r="F24" s="26" t="s">
        <v>20</v>
      </c>
      <c r="G24" s="26" t="s">
        <v>37</v>
      </c>
      <c r="H24" s="26" t="s">
        <v>50</v>
      </c>
      <c r="I24" s="26" t="s">
        <v>54</v>
      </c>
      <c r="J24" s="26" t="s">
        <v>56</v>
      </c>
      <c r="K24" s="26" t="s">
        <v>111</v>
      </c>
      <c r="L24" s="26" t="s">
        <v>70</v>
      </c>
      <c r="M24" s="26" t="s">
        <v>72</v>
      </c>
      <c r="N24" s="26" t="s">
        <v>74</v>
      </c>
      <c r="O24" s="26" t="s">
        <v>76</v>
      </c>
      <c r="P24" s="26" t="s">
        <v>78</v>
      </c>
      <c r="Q24" s="26" t="s">
        <v>80</v>
      </c>
      <c r="R24" s="26" t="s">
        <v>82</v>
      </c>
    </row>
    <row r="25" customFormat="false" ht="15" hidden="false" customHeight="true" outlineLevel="0" collapsed="false">
      <c r="A25" s="11" t="s">
        <v>35</v>
      </c>
      <c r="B25" s="11" t="n">
        <v>6</v>
      </c>
      <c r="C25" s="11" t="s">
        <v>112</v>
      </c>
      <c r="D25" s="11" t="s">
        <v>182</v>
      </c>
      <c r="E25" s="12" t="n">
        <v>2</v>
      </c>
      <c r="F25" s="11" t="n">
        <v>1</v>
      </c>
      <c r="G25" s="11" t="n">
        <v>12</v>
      </c>
      <c r="H25" s="11" t="n">
        <v>6</v>
      </c>
      <c r="I25" s="11" t="n">
        <v>3</v>
      </c>
      <c r="J25" s="11" t="n">
        <v>0</v>
      </c>
      <c r="K25" s="11" t="n">
        <v>5</v>
      </c>
      <c r="L25" s="11" t="s">
        <v>183</v>
      </c>
      <c r="M25" s="11" t="s">
        <v>184</v>
      </c>
      <c r="N25" s="11" t="n">
        <v>1</v>
      </c>
      <c r="O25" s="11" t="n">
        <v>2</v>
      </c>
      <c r="P25" s="11" t="n">
        <v>2</v>
      </c>
      <c r="Q25" s="11" t="n">
        <v>1</v>
      </c>
      <c r="R25" s="11" t="n">
        <v>0</v>
      </c>
    </row>
    <row r="26" customFormat="false" ht="15" hidden="false" customHeight="true" outlineLevel="0" collapsed="false">
      <c r="A26" s="14" t="s">
        <v>25</v>
      </c>
      <c r="B26" s="14" t="n">
        <v>11</v>
      </c>
      <c r="C26" s="14" t="s">
        <v>113</v>
      </c>
      <c r="D26" s="14" t="s">
        <v>185</v>
      </c>
      <c r="E26" s="14" t="n">
        <v>0</v>
      </c>
      <c r="F26" s="14" t="n">
        <v>1</v>
      </c>
      <c r="G26" s="14" t="n">
        <v>7</v>
      </c>
      <c r="H26" s="14" t="n">
        <v>4</v>
      </c>
      <c r="I26" s="14" t="n">
        <v>1</v>
      </c>
      <c r="J26" s="14" t="n">
        <v>2</v>
      </c>
      <c r="K26" s="14" t="n">
        <v>7</v>
      </c>
      <c r="L26" s="14" t="s">
        <v>186</v>
      </c>
      <c r="M26" s="14" t="s">
        <v>187</v>
      </c>
      <c r="N26" s="14" t="n">
        <v>0</v>
      </c>
      <c r="O26" s="14" t="n">
        <v>0</v>
      </c>
      <c r="P26" s="14" t="n">
        <v>0</v>
      </c>
      <c r="Q26" s="14" t="n">
        <v>3</v>
      </c>
      <c r="R26" s="14" t="n">
        <v>0</v>
      </c>
    </row>
    <row r="27" customFormat="false" ht="15" hidden="false" customHeight="true" outlineLevel="0" collapsed="false">
      <c r="A27" s="11" t="s">
        <v>121</v>
      </c>
      <c r="B27" s="11" t="n">
        <v>13</v>
      </c>
      <c r="C27" s="11" t="s">
        <v>114</v>
      </c>
      <c r="D27" s="11" t="s">
        <v>188</v>
      </c>
      <c r="E27" s="12" t="n">
        <v>1</v>
      </c>
      <c r="F27" s="11" t="n">
        <v>0</v>
      </c>
      <c r="G27" s="11" t="n">
        <v>3</v>
      </c>
      <c r="H27" s="11" t="n">
        <v>1</v>
      </c>
      <c r="I27" s="11" t="n">
        <v>2</v>
      </c>
      <c r="J27" s="11" t="n">
        <v>2</v>
      </c>
      <c r="K27" s="11" t="n">
        <v>8</v>
      </c>
      <c r="L27" s="11" t="s">
        <v>164</v>
      </c>
      <c r="M27" s="11" t="s">
        <v>184</v>
      </c>
      <c r="N27" s="11" t="n">
        <v>0</v>
      </c>
      <c r="O27" s="11" t="n">
        <v>1</v>
      </c>
      <c r="P27" s="11" t="n">
        <v>1</v>
      </c>
      <c r="Q27" s="11" t="n">
        <v>2</v>
      </c>
      <c r="R27" s="11" t="n">
        <v>1</v>
      </c>
    </row>
    <row r="28" customFormat="false" ht="15" hidden="false" customHeight="true" outlineLevel="0" collapsed="false">
      <c r="A28" s="14" t="s">
        <v>24</v>
      </c>
      <c r="B28" s="14" t="n">
        <v>8</v>
      </c>
      <c r="C28" s="14" t="s">
        <v>112</v>
      </c>
      <c r="D28" s="14" t="s">
        <v>189</v>
      </c>
      <c r="E28" s="14" t="n">
        <v>0</v>
      </c>
      <c r="F28" s="14" t="n">
        <v>0</v>
      </c>
      <c r="G28" s="14" t="n">
        <v>4</v>
      </c>
      <c r="H28" s="14" t="n">
        <v>3</v>
      </c>
      <c r="I28" s="14" t="n">
        <v>5</v>
      </c>
      <c r="J28" s="14" t="n">
        <v>5</v>
      </c>
      <c r="K28" s="14" t="n">
        <v>7</v>
      </c>
      <c r="L28" s="14" t="s">
        <v>184</v>
      </c>
      <c r="M28" s="14" t="s">
        <v>169</v>
      </c>
      <c r="N28" s="14" t="n">
        <v>2</v>
      </c>
      <c r="O28" s="14" t="n">
        <v>2</v>
      </c>
      <c r="P28" s="14" t="n">
        <v>1</v>
      </c>
      <c r="Q28" s="14" t="n">
        <v>1</v>
      </c>
      <c r="R28" s="14" t="n">
        <v>0</v>
      </c>
    </row>
    <row r="29" customFormat="false" ht="15" hidden="false" customHeight="true" outlineLevel="0" collapsed="false">
      <c r="A29" s="11" t="s">
        <v>115</v>
      </c>
      <c r="B29" s="11" t="n">
        <v>14</v>
      </c>
      <c r="C29" s="11" t="s">
        <v>116</v>
      </c>
      <c r="D29" s="11" t="s">
        <v>190</v>
      </c>
      <c r="E29" s="12" t="n">
        <v>1</v>
      </c>
      <c r="F29" s="11" t="n">
        <v>0</v>
      </c>
      <c r="G29" s="11" t="n">
        <v>3</v>
      </c>
      <c r="H29" s="11" t="n">
        <v>1</v>
      </c>
      <c r="I29" s="11" t="n">
        <v>1</v>
      </c>
      <c r="J29" s="11" t="n">
        <v>0</v>
      </c>
      <c r="K29" s="11" t="n">
        <v>3</v>
      </c>
      <c r="L29" s="11" t="s">
        <v>164</v>
      </c>
      <c r="M29" s="11" t="s">
        <v>164</v>
      </c>
      <c r="N29" s="11" t="n">
        <v>0</v>
      </c>
      <c r="O29" s="11" t="n">
        <v>0</v>
      </c>
      <c r="P29" s="11" t="n">
        <v>2</v>
      </c>
      <c r="Q29" s="11" t="n">
        <v>1</v>
      </c>
      <c r="R29" s="11" t="n">
        <v>0</v>
      </c>
    </row>
    <row r="30" customFormat="false" ht="15" hidden="false" customHeight="true" outlineLevel="0" collapsed="false">
      <c r="A30" s="14" t="s">
        <v>124</v>
      </c>
      <c r="B30" s="14" t="n">
        <v>7</v>
      </c>
      <c r="C30" s="14" t="s">
        <v>116</v>
      </c>
      <c r="D30" s="14" t="s">
        <v>191</v>
      </c>
      <c r="E30" s="14" t="n">
        <v>0</v>
      </c>
      <c r="F30" s="14" t="n">
        <v>0</v>
      </c>
      <c r="G30" s="14" t="n">
        <v>2</v>
      </c>
      <c r="H30" s="14" t="n">
        <v>1</v>
      </c>
      <c r="I30" s="14" t="n">
        <v>1</v>
      </c>
      <c r="J30" s="14" t="n">
        <v>2</v>
      </c>
      <c r="K30" s="14" t="n">
        <v>6</v>
      </c>
      <c r="L30" s="14" t="s">
        <v>165</v>
      </c>
      <c r="M30" s="14" t="s">
        <v>158</v>
      </c>
      <c r="N30" s="14" t="n">
        <v>0</v>
      </c>
      <c r="O30" s="14" t="n">
        <v>0</v>
      </c>
      <c r="P30" s="14" t="n">
        <v>1</v>
      </c>
      <c r="Q30" s="14" t="n">
        <v>1</v>
      </c>
      <c r="R30" s="14" t="n">
        <v>1</v>
      </c>
    </row>
    <row r="31" customFormat="false" ht="15" hidden="false" customHeight="true" outlineLevel="0" collapsed="false">
      <c r="A31" s="11" t="s">
        <v>28</v>
      </c>
      <c r="B31" s="11" t="n">
        <v>3</v>
      </c>
      <c r="C31" s="11" t="s">
        <v>112</v>
      </c>
      <c r="D31" s="11" t="s">
        <v>192</v>
      </c>
      <c r="E31" s="11" t="n">
        <v>0</v>
      </c>
      <c r="F31" s="11" t="n">
        <v>1</v>
      </c>
      <c r="G31" s="11" t="n">
        <v>4</v>
      </c>
      <c r="H31" s="11" t="n">
        <v>0</v>
      </c>
      <c r="I31" s="11" t="n">
        <v>3</v>
      </c>
      <c r="J31" s="11" t="n">
        <v>1</v>
      </c>
      <c r="K31" s="11" t="n">
        <v>7</v>
      </c>
      <c r="L31" s="11" t="s">
        <v>164</v>
      </c>
      <c r="M31" s="11" t="s">
        <v>164</v>
      </c>
      <c r="N31" s="11" t="n">
        <v>0</v>
      </c>
      <c r="O31" s="11" t="n">
        <v>1</v>
      </c>
      <c r="P31" s="11" t="n">
        <v>0</v>
      </c>
      <c r="Q31" s="11" t="n">
        <v>4</v>
      </c>
      <c r="R31" s="11" t="n">
        <v>1</v>
      </c>
    </row>
    <row r="32" customFormat="false" ht="15" hidden="false" customHeight="true" outlineLevel="0" collapsed="false">
      <c r="A32" s="14" t="s">
        <v>33</v>
      </c>
      <c r="B32" s="14" t="n">
        <v>5</v>
      </c>
      <c r="C32" s="14" t="s">
        <v>113</v>
      </c>
      <c r="D32" s="14" t="s">
        <v>193</v>
      </c>
      <c r="E32" s="14" t="n">
        <v>0</v>
      </c>
      <c r="F32" s="14" t="n">
        <v>0</v>
      </c>
      <c r="G32" s="14" t="n">
        <v>2</v>
      </c>
      <c r="H32" s="14" t="n">
        <v>0</v>
      </c>
      <c r="I32" s="14" t="n">
        <v>1</v>
      </c>
      <c r="J32" s="14" t="n">
        <v>2</v>
      </c>
      <c r="K32" s="14" t="n">
        <v>8</v>
      </c>
      <c r="L32" s="14" t="s">
        <v>159</v>
      </c>
      <c r="M32" s="14" t="s">
        <v>184</v>
      </c>
      <c r="N32" s="14" t="n">
        <v>1</v>
      </c>
      <c r="O32" s="14" t="n">
        <v>0</v>
      </c>
      <c r="P32" s="14" t="n">
        <v>1</v>
      </c>
      <c r="Q32" s="14" t="n">
        <v>3</v>
      </c>
      <c r="R32" s="14" t="n">
        <v>0</v>
      </c>
    </row>
    <row r="33" customFormat="false" ht="15" hidden="false" customHeight="true" outlineLevel="0" collapsed="false">
      <c r="A33" s="11" t="s">
        <v>40</v>
      </c>
      <c r="B33" s="11" t="n">
        <v>10</v>
      </c>
      <c r="C33" s="11" t="s">
        <v>114</v>
      </c>
      <c r="D33" s="11" t="s">
        <v>194</v>
      </c>
      <c r="E33" s="11" t="n">
        <v>0</v>
      </c>
      <c r="F33" s="11" t="n">
        <v>1</v>
      </c>
      <c r="G33" s="11" t="n">
        <v>3</v>
      </c>
      <c r="H33" s="11" t="n">
        <v>1</v>
      </c>
      <c r="I33" s="11" t="n">
        <v>2</v>
      </c>
      <c r="J33" s="11" t="n">
        <v>2</v>
      </c>
      <c r="K33" s="11" t="n">
        <v>9</v>
      </c>
      <c r="L33" s="11" t="s">
        <v>195</v>
      </c>
      <c r="M33" s="11" t="s">
        <v>164</v>
      </c>
      <c r="N33" s="11" t="n">
        <v>0</v>
      </c>
      <c r="O33" s="11" t="n">
        <v>0</v>
      </c>
      <c r="P33" s="11" t="n">
        <v>1</v>
      </c>
      <c r="Q33" s="11" t="n">
        <v>3</v>
      </c>
      <c r="R33" s="11" t="n">
        <v>0</v>
      </c>
    </row>
    <row r="34" customFormat="false" ht="15" hidden="false" customHeight="true" outlineLevel="0" collapsed="false">
      <c r="A34" s="14" t="s">
        <v>123</v>
      </c>
      <c r="B34" s="14" t="n">
        <v>2</v>
      </c>
      <c r="C34" s="14" t="s">
        <v>112</v>
      </c>
      <c r="D34" s="14" t="s">
        <v>196</v>
      </c>
      <c r="E34" s="14" t="n">
        <v>0</v>
      </c>
      <c r="F34" s="14" t="n">
        <v>0</v>
      </c>
      <c r="G34" s="14" t="n">
        <v>0</v>
      </c>
      <c r="H34" s="14" t="n">
        <v>0</v>
      </c>
      <c r="I34" s="14" t="n">
        <v>0</v>
      </c>
      <c r="J34" s="14" t="n">
        <v>1</v>
      </c>
      <c r="K34" s="14" t="n">
        <v>2</v>
      </c>
      <c r="L34" s="14" t="s">
        <v>165</v>
      </c>
      <c r="M34" s="14" t="s">
        <v>165</v>
      </c>
      <c r="N34" s="14" t="n">
        <v>0</v>
      </c>
      <c r="O34" s="14" t="n">
        <v>0</v>
      </c>
      <c r="P34" s="14" t="n">
        <v>1</v>
      </c>
      <c r="Q34" s="14" t="n">
        <v>1</v>
      </c>
      <c r="R34" s="14" t="n">
        <v>0</v>
      </c>
    </row>
    <row r="35" customFormat="false" ht="15" hidden="false" customHeight="true" outlineLevel="0" collapsed="false">
      <c r="A35" s="11" t="s">
        <v>122</v>
      </c>
      <c r="B35" s="11" t="n">
        <v>17</v>
      </c>
      <c r="C35" s="11" t="s">
        <v>114</v>
      </c>
      <c r="D35" s="11" t="s">
        <v>197</v>
      </c>
      <c r="E35" s="12" t="n">
        <v>1</v>
      </c>
      <c r="F35" s="11" t="n">
        <v>0</v>
      </c>
      <c r="G35" s="11" t="n">
        <v>1</v>
      </c>
      <c r="H35" s="11" t="n">
        <v>1</v>
      </c>
      <c r="I35" s="11" t="n">
        <v>1</v>
      </c>
      <c r="J35" s="11" t="n">
        <v>0</v>
      </c>
      <c r="K35" s="11" t="n">
        <v>9</v>
      </c>
      <c r="L35" s="11" t="s">
        <v>195</v>
      </c>
      <c r="M35" s="11" t="s">
        <v>187</v>
      </c>
      <c r="N35" s="11" t="n">
        <v>0</v>
      </c>
      <c r="O35" s="11" t="n">
        <v>0</v>
      </c>
      <c r="P35" s="11" t="n">
        <v>3</v>
      </c>
      <c r="Q35" s="11" t="n">
        <v>0</v>
      </c>
      <c r="R35" s="11" t="n">
        <v>0</v>
      </c>
    </row>
    <row r="36" customFormat="false" ht="15" hidden="false" customHeight="true" outlineLevel="0" collapsed="false">
      <c r="A36" s="14" t="s">
        <v>125</v>
      </c>
      <c r="B36" s="14" t="n">
        <v>9</v>
      </c>
      <c r="C36" s="14" t="s">
        <v>113</v>
      </c>
      <c r="D36" s="14" t="s">
        <v>198</v>
      </c>
      <c r="E36" s="14" t="n">
        <v>0</v>
      </c>
      <c r="F36" s="14" t="n">
        <v>0</v>
      </c>
      <c r="G36" s="14" t="n">
        <v>1</v>
      </c>
      <c r="H36" s="14" t="n">
        <v>0</v>
      </c>
      <c r="I36" s="14" t="n">
        <v>0</v>
      </c>
      <c r="J36" s="14" t="n">
        <v>0</v>
      </c>
      <c r="K36" s="14" t="n">
        <v>6</v>
      </c>
      <c r="L36" s="14" t="s">
        <v>161</v>
      </c>
      <c r="M36" s="14" t="s">
        <v>199</v>
      </c>
      <c r="N36" s="14" t="n">
        <v>0</v>
      </c>
      <c r="O36" s="14" t="n">
        <v>1</v>
      </c>
      <c r="P36" s="14" t="n">
        <v>2</v>
      </c>
      <c r="Q36" s="14" t="n">
        <v>0</v>
      </c>
      <c r="R36" s="14" t="n">
        <v>0</v>
      </c>
    </row>
    <row r="37" customFormat="false" ht="15" hidden="false" customHeight="true" outlineLevel="0" collapsed="false">
      <c r="A37" s="11" t="s">
        <v>34</v>
      </c>
      <c r="B37" s="11" t="n">
        <v>4</v>
      </c>
      <c r="C37" s="11" t="s">
        <v>116</v>
      </c>
      <c r="D37" s="11" t="s">
        <v>200</v>
      </c>
      <c r="E37" s="11" t="n">
        <v>0</v>
      </c>
      <c r="F37" s="11" t="n">
        <v>1</v>
      </c>
      <c r="G37" s="11" t="n">
        <v>0</v>
      </c>
      <c r="H37" s="11" t="n">
        <v>0</v>
      </c>
      <c r="I37" s="11" t="n">
        <v>1</v>
      </c>
      <c r="J37" s="11" t="n">
        <v>0</v>
      </c>
      <c r="K37" s="11" t="n">
        <v>3</v>
      </c>
      <c r="L37" s="11" t="s">
        <v>187</v>
      </c>
      <c r="M37" s="11" t="s">
        <v>169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</row>
    <row r="38" customFormat="false" ht="15" hidden="false" customHeight="true" outlineLevel="0" collapsed="false">
      <c r="A38" s="52" t="s">
        <v>175</v>
      </c>
      <c r="B38" s="52"/>
      <c r="C38" s="52"/>
      <c r="D38" s="52"/>
      <c r="E38" s="52"/>
      <c r="F38" s="52"/>
      <c r="G38" s="52"/>
      <c r="H38" s="52"/>
      <c r="I38" s="52"/>
      <c r="J38" s="52"/>
    </row>
    <row r="39" customFormat="false" ht="24" hidden="false" customHeight="true" outlineLevel="0" collapsed="false">
      <c r="A39" s="53" t="s">
        <v>176</v>
      </c>
      <c r="B39" s="53" t="s">
        <v>156</v>
      </c>
      <c r="C39" s="53" t="s">
        <v>177</v>
      </c>
      <c r="D39" s="53" t="s">
        <v>178</v>
      </c>
      <c r="E39" s="53" t="s">
        <v>84</v>
      </c>
      <c r="F39" s="53" t="s">
        <v>86</v>
      </c>
      <c r="G39" s="53" t="s">
        <v>88</v>
      </c>
      <c r="H39" s="53" t="s">
        <v>90</v>
      </c>
      <c r="I39" s="53" t="s">
        <v>92</v>
      </c>
      <c r="J39" s="53" t="s">
        <v>111</v>
      </c>
    </row>
    <row r="40" customFormat="false" ht="15" hidden="false" customHeight="true" outlineLevel="0" collapsed="false">
      <c r="A40" s="11" t="s">
        <v>201</v>
      </c>
      <c r="B40" s="11" t="s">
        <v>202</v>
      </c>
      <c r="C40" s="11" t="n">
        <v>8</v>
      </c>
      <c r="D40" s="11" t="n">
        <v>2</v>
      </c>
      <c r="E40" s="11" t="n">
        <v>8</v>
      </c>
      <c r="F40" s="11" t="n">
        <v>0</v>
      </c>
      <c r="G40" s="11" t="n">
        <v>2</v>
      </c>
      <c r="H40" s="11" t="n">
        <v>5</v>
      </c>
      <c r="I40" s="54" t="n">
        <v>0.666666666666667</v>
      </c>
      <c r="J40" s="11" t="n">
        <v>4</v>
      </c>
    </row>
    <row r="41" customFormat="false" ht="15" hidden="false" customHeight="true" outlineLevel="0" collapsed="false">
      <c r="A41" s="11" t="s">
        <v>179</v>
      </c>
      <c r="B41" s="11" t="s">
        <v>202</v>
      </c>
      <c r="C41" s="11" t="n">
        <v>7</v>
      </c>
      <c r="D41" s="11" t="n">
        <v>4</v>
      </c>
      <c r="E41" s="11" t="n">
        <v>13</v>
      </c>
      <c r="F41" s="11" t="n">
        <v>0</v>
      </c>
      <c r="G41" s="11" t="n">
        <v>5</v>
      </c>
      <c r="H41" s="11" t="n">
        <v>1</v>
      </c>
      <c r="I41" s="54" t="n">
        <v>0.947368421052632</v>
      </c>
      <c r="J41" s="11" t="n">
        <v>3</v>
      </c>
    </row>
    <row r="44" customFormat="false" ht="30" hidden="false" customHeight="true" outlineLevel="0" collapsed="false">
      <c r="A44" s="55" t="s">
        <v>203</v>
      </c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 customFormat="false" ht="15" hidden="false" customHeight="true" outlineLevel="0" collapsed="false">
      <c r="A45" s="26" t="s">
        <v>108</v>
      </c>
      <c r="B45" s="26" t="s">
        <v>43</v>
      </c>
      <c r="C45" s="26" t="s">
        <v>109</v>
      </c>
      <c r="D45" s="26" t="s">
        <v>156</v>
      </c>
      <c r="E45" s="26" t="s">
        <v>18</v>
      </c>
      <c r="F45" s="26" t="s">
        <v>20</v>
      </c>
      <c r="G45" s="26" t="s">
        <v>37</v>
      </c>
      <c r="H45" s="26" t="s">
        <v>50</v>
      </c>
      <c r="I45" s="26" t="s">
        <v>54</v>
      </c>
      <c r="J45" s="26" t="s">
        <v>56</v>
      </c>
      <c r="K45" s="26" t="s">
        <v>111</v>
      </c>
      <c r="L45" s="26" t="s">
        <v>70</v>
      </c>
      <c r="M45" s="26" t="s">
        <v>72</v>
      </c>
      <c r="N45" s="26" t="s">
        <v>74</v>
      </c>
      <c r="O45" s="26" t="s">
        <v>76</v>
      </c>
      <c r="P45" s="26" t="s">
        <v>78</v>
      </c>
      <c r="Q45" s="26" t="s">
        <v>80</v>
      </c>
      <c r="R45" s="26" t="s">
        <v>82</v>
      </c>
    </row>
    <row r="46" customFormat="false" ht="15" hidden="false" customHeight="true" outlineLevel="0" collapsed="false">
      <c r="A46" s="11" t="s">
        <v>24</v>
      </c>
      <c r="B46" s="11" t="n">
        <v>8</v>
      </c>
      <c r="C46" s="11" t="s">
        <v>112</v>
      </c>
      <c r="D46" s="11" t="s">
        <v>182</v>
      </c>
      <c r="E46" s="11" t="n">
        <v>0</v>
      </c>
      <c r="F46" s="11" t="n">
        <v>1</v>
      </c>
      <c r="G46" s="11" t="n">
        <v>5</v>
      </c>
      <c r="H46" s="11" t="n">
        <v>2</v>
      </c>
      <c r="I46" s="11" t="n">
        <v>2</v>
      </c>
      <c r="J46" s="11" t="n">
        <v>1</v>
      </c>
      <c r="K46" s="11" t="n">
        <v>11</v>
      </c>
      <c r="L46" s="11" t="s">
        <v>169</v>
      </c>
      <c r="M46" s="11" t="s">
        <v>199</v>
      </c>
      <c r="N46" s="11" t="n">
        <v>0</v>
      </c>
      <c r="O46" s="11" t="n">
        <v>0</v>
      </c>
      <c r="P46" s="11" t="n">
        <v>4</v>
      </c>
      <c r="Q46" s="11" t="n">
        <v>2</v>
      </c>
      <c r="R46" s="11" t="n">
        <v>0</v>
      </c>
    </row>
    <row r="47" customFormat="false" ht="15" hidden="false" customHeight="true" outlineLevel="0" collapsed="false">
      <c r="A47" s="14" t="s">
        <v>27</v>
      </c>
      <c r="B47" s="14" t="n">
        <v>9</v>
      </c>
      <c r="C47" s="14" t="s">
        <v>113</v>
      </c>
      <c r="D47" s="14" t="s">
        <v>204</v>
      </c>
      <c r="E47" s="51" t="n">
        <v>2</v>
      </c>
      <c r="F47" s="14" t="n">
        <v>0</v>
      </c>
      <c r="G47" s="14" t="n">
        <v>15</v>
      </c>
      <c r="H47" s="14" t="n">
        <v>8</v>
      </c>
      <c r="I47" s="14" t="n">
        <v>2</v>
      </c>
      <c r="J47" s="14" t="n">
        <v>1</v>
      </c>
      <c r="K47" s="14" t="n">
        <v>9</v>
      </c>
      <c r="L47" s="14" t="s">
        <v>159</v>
      </c>
      <c r="M47" s="14" t="s">
        <v>165</v>
      </c>
      <c r="N47" s="14" t="n">
        <v>2</v>
      </c>
      <c r="O47" s="14" t="n">
        <v>2</v>
      </c>
      <c r="P47" s="14" t="n">
        <v>5</v>
      </c>
      <c r="Q47" s="14" t="n">
        <v>2</v>
      </c>
      <c r="R47" s="14" t="n">
        <v>0</v>
      </c>
    </row>
    <row r="48" customFormat="false" ht="15" hidden="false" customHeight="true" outlineLevel="0" collapsed="false">
      <c r="A48" s="11" t="s">
        <v>40</v>
      </c>
      <c r="B48" s="11" t="n">
        <v>10</v>
      </c>
      <c r="C48" s="11" t="s">
        <v>114</v>
      </c>
      <c r="D48" s="11" t="s">
        <v>205</v>
      </c>
      <c r="E48" s="11" t="n">
        <v>0</v>
      </c>
      <c r="F48" s="11" t="n">
        <v>0</v>
      </c>
      <c r="G48" s="11" t="n">
        <v>2</v>
      </c>
      <c r="H48" s="11" t="n">
        <v>1</v>
      </c>
      <c r="I48" s="11" t="n">
        <v>3</v>
      </c>
      <c r="J48" s="11" t="n">
        <v>2</v>
      </c>
      <c r="K48" s="11" t="n">
        <v>4</v>
      </c>
      <c r="L48" s="11" t="s">
        <v>187</v>
      </c>
      <c r="M48" s="11" t="s">
        <v>165</v>
      </c>
      <c r="N48" s="11" t="n">
        <v>3</v>
      </c>
      <c r="O48" s="11" t="n">
        <v>1</v>
      </c>
      <c r="P48" s="11" t="n">
        <v>1</v>
      </c>
      <c r="Q48" s="11" t="n">
        <v>2</v>
      </c>
      <c r="R48" s="11" t="n">
        <v>0</v>
      </c>
    </row>
    <row r="49" customFormat="false" ht="15" hidden="false" customHeight="true" outlineLevel="0" collapsed="false">
      <c r="A49" s="14" t="s">
        <v>25</v>
      </c>
      <c r="B49" s="14" t="n">
        <v>11</v>
      </c>
      <c r="C49" s="14" t="s">
        <v>113</v>
      </c>
      <c r="D49" s="14" t="s">
        <v>206</v>
      </c>
      <c r="E49" s="14" t="n">
        <v>0</v>
      </c>
      <c r="F49" s="14" t="n">
        <v>0</v>
      </c>
      <c r="G49" s="14" t="n">
        <v>7</v>
      </c>
      <c r="H49" s="14" t="n">
        <v>3</v>
      </c>
      <c r="I49" s="14" t="n">
        <v>2</v>
      </c>
      <c r="J49" s="14" t="n">
        <v>1</v>
      </c>
      <c r="K49" s="14" t="n">
        <v>10</v>
      </c>
      <c r="L49" s="14" t="s">
        <v>165</v>
      </c>
      <c r="M49" s="14" t="s">
        <v>158</v>
      </c>
      <c r="N49" s="14" t="n">
        <v>3</v>
      </c>
      <c r="O49" s="14" t="n">
        <v>1</v>
      </c>
      <c r="P49" s="14" t="n">
        <v>0</v>
      </c>
      <c r="Q49" s="14" t="n">
        <v>9</v>
      </c>
      <c r="R49" s="14" t="n">
        <v>0</v>
      </c>
    </row>
    <row r="50" customFormat="false" ht="15" hidden="false" customHeight="true" outlineLevel="0" collapsed="false">
      <c r="A50" s="11" t="s">
        <v>115</v>
      </c>
      <c r="B50" s="11" t="n">
        <v>14</v>
      </c>
      <c r="C50" s="11" t="s">
        <v>116</v>
      </c>
      <c r="D50" s="11" t="s">
        <v>207</v>
      </c>
      <c r="E50" s="11" t="n">
        <v>0</v>
      </c>
      <c r="F50" s="11" t="n">
        <v>0</v>
      </c>
      <c r="G50" s="11" t="n">
        <v>1</v>
      </c>
      <c r="H50" s="11" t="n">
        <v>1</v>
      </c>
      <c r="I50" s="11" t="n">
        <v>1</v>
      </c>
      <c r="J50" s="11" t="n">
        <v>1</v>
      </c>
      <c r="K50" s="11" t="n">
        <v>3</v>
      </c>
      <c r="L50" s="11" t="s">
        <v>169</v>
      </c>
      <c r="M50" s="11" t="s">
        <v>165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</row>
    <row r="51" customFormat="false" ht="15" hidden="false" customHeight="true" outlineLevel="0" collapsed="false">
      <c r="A51" s="14" t="s">
        <v>120</v>
      </c>
      <c r="B51" s="14" t="n">
        <v>7</v>
      </c>
      <c r="C51" s="14" t="s">
        <v>114</v>
      </c>
      <c r="D51" s="14" t="s">
        <v>171</v>
      </c>
      <c r="E51" s="14" t="n">
        <v>0</v>
      </c>
      <c r="F51" s="14" t="n">
        <v>0</v>
      </c>
      <c r="G51" s="14" t="n">
        <v>3</v>
      </c>
      <c r="H51" s="14" t="n">
        <v>2</v>
      </c>
      <c r="I51" s="14" t="n">
        <v>1</v>
      </c>
      <c r="J51" s="14" t="n">
        <v>1</v>
      </c>
      <c r="K51" s="14" t="n">
        <v>1</v>
      </c>
      <c r="L51" s="14" t="s">
        <v>165</v>
      </c>
      <c r="M51" s="14" t="s">
        <v>165</v>
      </c>
      <c r="N51" s="14" t="n">
        <v>1</v>
      </c>
      <c r="O51" s="14" t="n">
        <v>0</v>
      </c>
      <c r="P51" s="14" t="n">
        <v>0</v>
      </c>
      <c r="Q51" s="14" t="n">
        <v>1</v>
      </c>
      <c r="R51" s="14" t="n">
        <v>0</v>
      </c>
    </row>
    <row r="52" customFormat="false" ht="15" hidden="false" customHeight="true" outlineLevel="0" collapsed="false">
      <c r="A52" s="11" t="s">
        <v>126</v>
      </c>
      <c r="B52" s="11" t="n">
        <v>13</v>
      </c>
      <c r="C52" s="11" t="s">
        <v>116</v>
      </c>
      <c r="D52" s="11" t="s">
        <v>208</v>
      </c>
      <c r="E52" s="11" t="n">
        <v>0</v>
      </c>
      <c r="F52" s="11" t="n">
        <v>0</v>
      </c>
      <c r="G52" s="11" t="n">
        <v>5</v>
      </c>
      <c r="H52" s="11" t="n">
        <v>1</v>
      </c>
      <c r="I52" s="11" t="n">
        <v>0</v>
      </c>
      <c r="J52" s="11" t="n">
        <v>0</v>
      </c>
      <c r="K52" s="11" t="n">
        <v>2</v>
      </c>
      <c r="L52" s="11" t="s">
        <v>165</v>
      </c>
      <c r="M52" s="11" t="s">
        <v>165</v>
      </c>
      <c r="N52" s="11" t="n">
        <v>2</v>
      </c>
      <c r="O52" s="11" t="n">
        <v>0</v>
      </c>
      <c r="P52" s="11" t="n">
        <v>0</v>
      </c>
      <c r="Q52" s="11" t="n">
        <v>0</v>
      </c>
      <c r="R52" s="11" t="n">
        <v>0</v>
      </c>
    </row>
    <row r="53" customFormat="false" ht="15" hidden="false" customHeight="true" outlineLevel="0" collapsed="false">
      <c r="A53" s="14" t="s">
        <v>28</v>
      </c>
      <c r="B53" s="14" t="n">
        <v>3</v>
      </c>
      <c r="C53" s="14" t="s">
        <v>112</v>
      </c>
      <c r="D53" s="14" t="s">
        <v>209</v>
      </c>
      <c r="E53" s="51" t="n">
        <v>1</v>
      </c>
      <c r="F53" s="14" t="n">
        <v>0</v>
      </c>
      <c r="G53" s="14" t="n">
        <v>3</v>
      </c>
      <c r="H53" s="14" t="n">
        <v>1</v>
      </c>
      <c r="I53" s="14" t="n">
        <v>3</v>
      </c>
      <c r="J53" s="14" t="n">
        <v>1</v>
      </c>
      <c r="K53" s="14" t="n">
        <v>8</v>
      </c>
      <c r="L53" s="14" t="s">
        <v>169</v>
      </c>
      <c r="M53" s="14" t="s">
        <v>165</v>
      </c>
      <c r="N53" s="14" t="n">
        <v>0</v>
      </c>
      <c r="O53" s="14" t="n">
        <v>3</v>
      </c>
      <c r="P53" s="14" t="n">
        <v>0</v>
      </c>
      <c r="Q53" s="14" t="n">
        <v>5</v>
      </c>
      <c r="R53" s="14" t="n">
        <v>0</v>
      </c>
    </row>
    <row r="54" customFormat="false" ht="15" hidden="false" customHeight="true" outlineLevel="0" collapsed="false">
      <c r="A54" s="11" t="s">
        <v>127</v>
      </c>
      <c r="B54" s="11" t="n">
        <v>4</v>
      </c>
      <c r="C54" s="11" t="s">
        <v>116</v>
      </c>
      <c r="D54" s="11" t="s">
        <v>209</v>
      </c>
      <c r="E54" s="11" t="n">
        <v>0</v>
      </c>
      <c r="F54" s="11" t="n">
        <v>1</v>
      </c>
      <c r="G54" s="11" t="n">
        <v>2</v>
      </c>
      <c r="H54" s="11" t="n">
        <v>0</v>
      </c>
      <c r="I54" s="11" t="n">
        <v>0</v>
      </c>
      <c r="J54" s="11" t="n">
        <v>0</v>
      </c>
      <c r="K54" s="11" t="n">
        <v>2</v>
      </c>
      <c r="L54" s="11" t="s">
        <v>164</v>
      </c>
      <c r="M54" s="11" t="s">
        <v>165</v>
      </c>
      <c r="N54" s="11" t="n">
        <v>1</v>
      </c>
      <c r="O54" s="11" t="n">
        <v>0</v>
      </c>
      <c r="P54" s="11" t="n">
        <v>1</v>
      </c>
      <c r="Q54" s="11" t="n">
        <v>0</v>
      </c>
      <c r="R54" s="11" t="n">
        <v>0</v>
      </c>
    </row>
    <row r="55" customFormat="false" ht="15" hidden="false" customHeight="true" outlineLevel="0" collapsed="false">
      <c r="A55" s="14" t="s">
        <v>118</v>
      </c>
      <c r="B55" s="14" t="n">
        <v>2</v>
      </c>
      <c r="C55" s="14" t="s">
        <v>113</v>
      </c>
      <c r="D55" s="14" t="s">
        <v>210</v>
      </c>
      <c r="E55" s="14" t="n">
        <v>0</v>
      </c>
      <c r="F55" s="14" t="n">
        <v>0</v>
      </c>
      <c r="G55" s="14" t="n">
        <v>4</v>
      </c>
      <c r="H55" s="14" t="n">
        <v>2</v>
      </c>
      <c r="I55" s="14" t="n">
        <v>1</v>
      </c>
      <c r="J55" s="14" t="n">
        <v>0</v>
      </c>
      <c r="K55" s="14" t="n">
        <v>2</v>
      </c>
      <c r="L55" s="14" t="s">
        <v>211</v>
      </c>
      <c r="M55" s="14" t="s">
        <v>187</v>
      </c>
      <c r="N55" s="14" t="n">
        <v>0</v>
      </c>
      <c r="O55" s="14" t="n">
        <v>1</v>
      </c>
      <c r="P55" s="14" t="n">
        <v>0</v>
      </c>
      <c r="Q55" s="14" t="n">
        <v>1</v>
      </c>
      <c r="R55" s="14" t="n">
        <v>0</v>
      </c>
    </row>
    <row r="56" customFormat="false" ht="15" hidden="false" customHeight="true" outlineLevel="0" collapsed="false">
      <c r="A56" s="11" t="s">
        <v>33</v>
      </c>
      <c r="B56" s="11" t="n">
        <v>5</v>
      </c>
      <c r="C56" s="11" t="s">
        <v>113</v>
      </c>
      <c r="D56" s="11" t="s">
        <v>210</v>
      </c>
      <c r="E56" s="11" t="n">
        <v>0</v>
      </c>
      <c r="F56" s="11" t="n">
        <v>0</v>
      </c>
      <c r="G56" s="11" t="n">
        <v>0</v>
      </c>
      <c r="H56" s="11" t="n">
        <v>0</v>
      </c>
      <c r="I56" s="11" t="n">
        <v>1</v>
      </c>
      <c r="J56" s="11" t="n">
        <v>1</v>
      </c>
      <c r="K56" s="11" t="n">
        <v>5</v>
      </c>
      <c r="L56" s="11" t="s">
        <v>158</v>
      </c>
      <c r="M56" s="11" t="s">
        <v>169</v>
      </c>
      <c r="N56" s="11" t="n">
        <v>0</v>
      </c>
      <c r="O56" s="11" t="n">
        <v>0</v>
      </c>
      <c r="P56" s="11" t="n">
        <v>1</v>
      </c>
      <c r="Q56" s="11" t="n">
        <v>3</v>
      </c>
      <c r="R56" s="11" t="n">
        <v>0</v>
      </c>
    </row>
    <row r="57" customFormat="false" ht="15" hidden="false" customHeight="true" outlineLevel="0" collapsed="false">
      <c r="A57" s="14" t="s">
        <v>119</v>
      </c>
      <c r="B57" s="14" t="n">
        <v>6</v>
      </c>
      <c r="C57" s="14" t="s">
        <v>112</v>
      </c>
      <c r="D57" s="14" t="s">
        <v>212</v>
      </c>
      <c r="E57" s="14" t="n">
        <v>0</v>
      </c>
      <c r="F57" s="14" t="n">
        <v>0</v>
      </c>
      <c r="G57" s="14" t="n">
        <v>3</v>
      </c>
      <c r="H57" s="14" t="n">
        <v>1</v>
      </c>
      <c r="I57" s="14" t="n">
        <v>0</v>
      </c>
      <c r="J57" s="14" t="n">
        <v>2</v>
      </c>
      <c r="K57" s="14" t="n">
        <v>4</v>
      </c>
      <c r="L57" s="14" t="s">
        <v>158</v>
      </c>
      <c r="M57" s="14" t="s">
        <v>170</v>
      </c>
      <c r="N57" s="14" t="n">
        <v>0</v>
      </c>
      <c r="O57" s="14" t="n">
        <v>0</v>
      </c>
      <c r="P57" s="14" t="n">
        <v>0</v>
      </c>
      <c r="Q57" s="14" t="n">
        <v>1</v>
      </c>
      <c r="R57" s="14" t="n">
        <v>1</v>
      </c>
    </row>
    <row r="58" customFormat="false" ht="15" hidden="false" customHeight="true" outlineLevel="0" collapsed="false">
      <c r="A58" s="52" t="s">
        <v>175</v>
      </c>
      <c r="B58" s="52"/>
      <c r="C58" s="52"/>
      <c r="D58" s="52"/>
      <c r="E58" s="52"/>
      <c r="F58" s="52"/>
      <c r="G58" s="52"/>
      <c r="H58" s="52"/>
      <c r="I58" s="52"/>
      <c r="J58" s="52"/>
    </row>
    <row r="59" customFormat="false" ht="24" hidden="false" customHeight="true" outlineLevel="0" collapsed="false">
      <c r="A59" s="53" t="s">
        <v>176</v>
      </c>
      <c r="B59" s="53" t="s">
        <v>156</v>
      </c>
      <c r="C59" s="53" t="s">
        <v>177</v>
      </c>
      <c r="D59" s="53" t="s">
        <v>178</v>
      </c>
      <c r="E59" s="53" t="s">
        <v>84</v>
      </c>
      <c r="F59" s="53" t="s">
        <v>86</v>
      </c>
      <c r="G59" s="53" t="s">
        <v>88</v>
      </c>
      <c r="H59" s="53" t="s">
        <v>90</v>
      </c>
      <c r="I59" s="53" t="s">
        <v>92</v>
      </c>
      <c r="J59" s="53" t="s">
        <v>111</v>
      </c>
    </row>
    <row r="60" customFormat="false" ht="15" hidden="false" customHeight="true" outlineLevel="0" collapsed="false">
      <c r="A60" s="11" t="s">
        <v>213</v>
      </c>
      <c r="B60" s="11" t="s">
        <v>202</v>
      </c>
      <c r="C60" s="11" t="n">
        <v>4</v>
      </c>
      <c r="D60" s="11" t="n">
        <v>3</v>
      </c>
      <c r="E60" s="11" t="n">
        <v>11</v>
      </c>
      <c r="F60" s="11" t="n">
        <v>0</v>
      </c>
      <c r="G60" s="11" t="n">
        <v>3</v>
      </c>
      <c r="H60" s="11" t="n">
        <v>3</v>
      </c>
      <c r="I60" s="54" t="n">
        <v>0.823529411764706</v>
      </c>
      <c r="J60" s="11" t="n">
        <v>5</v>
      </c>
    </row>
    <row r="61" customFormat="false" ht="15" hidden="false" customHeight="true" outlineLevel="0" collapsed="false">
      <c r="A61" s="11" t="s">
        <v>214</v>
      </c>
      <c r="B61" s="11" t="s">
        <v>202</v>
      </c>
      <c r="C61" s="11" t="n">
        <v>2</v>
      </c>
      <c r="D61" s="11" t="n">
        <v>0</v>
      </c>
      <c r="E61" s="11" t="n">
        <v>10</v>
      </c>
      <c r="F61" s="11" t="n">
        <v>0</v>
      </c>
      <c r="G61" s="11" t="n">
        <v>1</v>
      </c>
      <c r="H61" s="11" t="n">
        <v>0</v>
      </c>
      <c r="I61" s="54" t="n">
        <v>1</v>
      </c>
      <c r="J61" s="11" t="n">
        <v>0</v>
      </c>
    </row>
    <row r="64" customFormat="false" ht="30" hidden="false" customHeight="true" outlineLevel="0" collapsed="false">
      <c r="A64" s="55" t="s">
        <v>215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 customFormat="false" ht="15" hidden="false" customHeight="true" outlineLevel="0" collapsed="false">
      <c r="A65" s="26" t="s">
        <v>108</v>
      </c>
      <c r="B65" s="26" t="s">
        <v>43</v>
      </c>
      <c r="C65" s="26" t="s">
        <v>109</v>
      </c>
      <c r="D65" s="26" t="s">
        <v>156</v>
      </c>
      <c r="E65" s="26" t="s">
        <v>18</v>
      </c>
      <c r="F65" s="26" t="s">
        <v>20</v>
      </c>
      <c r="G65" s="26" t="s">
        <v>37</v>
      </c>
      <c r="H65" s="26" t="s">
        <v>50</v>
      </c>
      <c r="I65" s="26" t="s">
        <v>54</v>
      </c>
      <c r="J65" s="26" t="s">
        <v>56</v>
      </c>
      <c r="K65" s="26" t="s">
        <v>111</v>
      </c>
      <c r="L65" s="26" t="s">
        <v>70</v>
      </c>
      <c r="M65" s="26" t="s">
        <v>72</v>
      </c>
      <c r="N65" s="26" t="s">
        <v>74</v>
      </c>
      <c r="O65" s="26" t="s">
        <v>76</v>
      </c>
      <c r="P65" s="26" t="s">
        <v>78</v>
      </c>
      <c r="Q65" s="26" t="s">
        <v>80</v>
      </c>
      <c r="R65" s="26" t="s">
        <v>82</v>
      </c>
    </row>
    <row r="66" customFormat="false" ht="15" hidden="false" customHeight="true" outlineLevel="0" collapsed="false">
      <c r="A66" s="11" t="s">
        <v>40</v>
      </c>
      <c r="B66" s="11" t="n">
        <v>10</v>
      </c>
      <c r="C66" s="11" t="s">
        <v>114</v>
      </c>
      <c r="D66" s="11" t="s">
        <v>216</v>
      </c>
      <c r="E66" s="11" t="n">
        <v>0</v>
      </c>
      <c r="F66" s="11" t="n">
        <v>0</v>
      </c>
      <c r="G66" s="11" t="n">
        <v>2</v>
      </c>
      <c r="H66" s="11" t="n">
        <v>1</v>
      </c>
      <c r="I66" s="11" t="n">
        <v>3</v>
      </c>
      <c r="J66" s="11" t="n">
        <v>0</v>
      </c>
      <c r="K66" s="11" t="n">
        <v>10</v>
      </c>
      <c r="L66" s="11" t="s">
        <v>161</v>
      </c>
      <c r="M66" s="11" t="s">
        <v>217</v>
      </c>
      <c r="N66" s="11" t="n">
        <v>1</v>
      </c>
      <c r="O66" s="11" t="n">
        <v>0</v>
      </c>
      <c r="P66" s="11" t="n">
        <v>3</v>
      </c>
      <c r="Q66" s="11" t="n">
        <v>3</v>
      </c>
      <c r="R66" s="11" t="n">
        <v>0</v>
      </c>
    </row>
    <row r="67" customFormat="false" ht="15" hidden="false" customHeight="true" outlineLevel="0" collapsed="false">
      <c r="A67" s="14" t="s">
        <v>35</v>
      </c>
      <c r="B67" s="14" t="n">
        <v>6</v>
      </c>
      <c r="C67" s="14" t="s">
        <v>112</v>
      </c>
      <c r="D67" s="14" t="s">
        <v>218</v>
      </c>
      <c r="E67" s="14" t="n">
        <v>0</v>
      </c>
      <c r="F67" s="14" t="n">
        <v>0</v>
      </c>
      <c r="G67" s="14" t="n">
        <v>8</v>
      </c>
      <c r="H67" s="14" t="n">
        <v>3</v>
      </c>
      <c r="I67" s="14" t="n">
        <v>5</v>
      </c>
      <c r="J67" s="14" t="n">
        <v>1</v>
      </c>
      <c r="K67" s="14" t="n">
        <v>11</v>
      </c>
      <c r="L67" s="14" t="s">
        <v>219</v>
      </c>
      <c r="M67" s="14" t="s">
        <v>220</v>
      </c>
      <c r="N67" s="14" t="n">
        <v>0</v>
      </c>
      <c r="O67" s="14" t="n">
        <v>3</v>
      </c>
      <c r="P67" s="14" t="n">
        <v>0</v>
      </c>
      <c r="Q67" s="14" t="n">
        <v>5</v>
      </c>
      <c r="R67" s="14" t="n">
        <v>0</v>
      </c>
    </row>
    <row r="68" customFormat="false" ht="15" hidden="false" customHeight="true" outlineLevel="0" collapsed="false">
      <c r="A68" s="11" t="s">
        <v>24</v>
      </c>
      <c r="B68" s="11" t="n">
        <v>8</v>
      </c>
      <c r="C68" s="11" t="s">
        <v>112</v>
      </c>
      <c r="D68" s="11" t="s">
        <v>221</v>
      </c>
      <c r="E68" s="12" t="n">
        <v>2</v>
      </c>
      <c r="F68" s="11" t="n">
        <v>0</v>
      </c>
      <c r="G68" s="11" t="n">
        <v>8</v>
      </c>
      <c r="H68" s="11" t="n">
        <v>4</v>
      </c>
      <c r="I68" s="11" t="n">
        <v>4</v>
      </c>
      <c r="J68" s="11" t="n">
        <v>1</v>
      </c>
      <c r="K68" s="11" t="n">
        <v>7</v>
      </c>
      <c r="L68" s="11" t="s">
        <v>222</v>
      </c>
      <c r="M68" s="11" t="s">
        <v>165</v>
      </c>
      <c r="N68" s="11" t="n">
        <v>0</v>
      </c>
      <c r="O68" s="11" t="n">
        <v>0</v>
      </c>
      <c r="P68" s="11" t="n">
        <v>0</v>
      </c>
      <c r="Q68" s="11" t="n">
        <v>2</v>
      </c>
      <c r="R68" s="11" t="n">
        <v>0</v>
      </c>
    </row>
    <row r="69" customFormat="false" ht="15" hidden="false" customHeight="true" outlineLevel="0" collapsed="false">
      <c r="A69" s="14" t="s">
        <v>124</v>
      </c>
      <c r="B69" s="14" t="n">
        <v>7</v>
      </c>
      <c r="C69" s="14" t="s">
        <v>116</v>
      </c>
      <c r="D69" s="14" t="s">
        <v>223</v>
      </c>
      <c r="E69" s="14" t="n">
        <v>0</v>
      </c>
      <c r="F69" s="14" t="n">
        <v>0</v>
      </c>
      <c r="G69" s="14" t="n">
        <v>6</v>
      </c>
      <c r="H69" s="14" t="n">
        <v>0</v>
      </c>
      <c r="I69" s="14" t="n">
        <v>1</v>
      </c>
      <c r="J69" s="14" t="n">
        <v>4</v>
      </c>
      <c r="K69" s="14" t="n">
        <v>5</v>
      </c>
      <c r="L69" s="14" t="s">
        <v>158</v>
      </c>
      <c r="M69" s="14" t="s">
        <v>165</v>
      </c>
      <c r="N69" s="14" t="n">
        <v>0</v>
      </c>
      <c r="O69" s="14" t="n">
        <v>0</v>
      </c>
      <c r="P69" s="14" t="n">
        <v>2</v>
      </c>
      <c r="Q69" s="14" t="n">
        <v>2</v>
      </c>
      <c r="R69" s="14" t="n">
        <v>0</v>
      </c>
    </row>
    <row r="70" customFormat="false" ht="15" hidden="false" customHeight="true" outlineLevel="0" collapsed="false">
      <c r="A70" s="11" t="s">
        <v>25</v>
      </c>
      <c r="B70" s="11" t="n">
        <v>11</v>
      </c>
      <c r="C70" s="11" t="s">
        <v>113</v>
      </c>
      <c r="D70" s="11" t="s">
        <v>224</v>
      </c>
      <c r="E70" s="11" t="n">
        <v>0</v>
      </c>
      <c r="F70" s="11" t="n">
        <v>1</v>
      </c>
      <c r="G70" s="11" t="n">
        <v>6</v>
      </c>
      <c r="H70" s="11" t="n">
        <v>1</v>
      </c>
      <c r="I70" s="11" t="n">
        <v>2</v>
      </c>
      <c r="J70" s="11" t="n">
        <v>0</v>
      </c>
      <c r="K70" s="11" t="n">
        <v>5</v>
      </c>
      <c r="L70" s="11" t="s">
        <v>187</v>
      </c>
      <c r="M70" s="11" t="s">
        <v>164</v>
      </c>
      <c r="N70" s="11" t="n">
        <v>1</v>
      </c>
      <c r="O70" s="11" t="n">
        <v>1</v>
      </c>
      <c r="P70" s="11" t="n">
        <v>1</v>
      </c>
      <c r="Q70" s="11" t="n">
        <v>0</v>
      </c>
      <c r="R70" s="11" t="n">
        <v>1</v>
      </c>
    </row>
    <row r="71" customFormat="false" ht="15" hidden="false" customHeight="true" outlineLevel="0" collapsed="false">
      <c r="A71" s="14" t="s">
        <v>121</v>
      </c>
      <c r="B71" s="14" t="n">
        <v>13</v>
      </c>
      <c r="C71" s="14" t="s">
        <v>114</v>
      </c>
      <c r="D71" s="14" t="s">
        <v>225</v>
      </c>
      <c r="E71" s="14" t="n">
        <v>0</v>
      </c>
      <c r="F71" s="14" t="n">
        <v>0</v>
      </c>
      <c r="G71" s="14" t="n">
        <v>2</v>
      </c>
      <c r="H71" s="14" t="n">
        <v>1</v>
      </c>
      <c r="I71" s="14" t="n">
        <v>0</v>
      </c>
      <c r="J71" s="14" t="n">
        <v>0</v>
      </c>
      <c r="K71" s="14" t="n">
        <v>4</v>
      </c>
      <c r="L71" s="14" t="s">
        <v>164</v>
      </c>
      <c r="M71" s="14" t="s">
        <v>159</v>
      </c>
      <c r="N71" s="14" t="n">
        <v>0</v>
      </c>
      <c r="O71" s="14" t="n">
        <v>0</v>
      </c>
      <c r="P71" s="14" t="n">
        <v>1</v>
      </c>
      <c r="Q71" s="14" t="n">
        <v>2</v>
      </c>
      <c r="R71" s="14" t="n">
        <v>0</v>
      </c>
    </row>
    <row r="72" customFormat="false" ht="15" hidden="false" customHeight="true" outlineLevel="0" collapsed="false">
      <c r="A72" s="11" t="s">
        <v>115</v>
      </c>
      <c r="B72" s="11" t="n">
        <v>14</v>
      </c>
      <c r="C72" s="11" t="s">
        <v>116</v>
      </c>
      <c r="D72" s="11" t="s">
        <v>226</v>
      </c>
      <c r="E72" s="11" t="n">
        <v>0</v>
      </c>
      <c r="F72" s="11" t="n">
        <v>0</v>
      </c>
      <c r="G72" s="11" t="n">
        <v>3</v>
      </c>
      <c r="H72" s="11" t="n">
        <v>1</v>
      </c>
      <c r="I72" s="11" t="n">
        <v>1</v>
      </c>
      <c r="J72" s="11" t="n">
        <v>3</v>
      </c>
      <c r="K72" s="11" t="n">
        <v>4</v>
      </c>
      <c r="L72" s="11" t="s">
        <v>165</v>
      </c>
      <c r="M72" s="11" t="s">
        <v>199</v>
      </c>
      <c r="N72" s="11" t="n">
        <v>0</v>
      </c>
      <c r="O72" s="11" t="n">
        <v>1</v>
      </c>
      <c r="P72" s="11" t="n">
        <v>3</v>
      </c>
      <c r="Q72" s="11" t="n">
        <v>1</v>
      </c>
      <c r="R72" s="11" t="n">
        <v>0</v>
      </c>
    </row>
    <row r="73" customFormat="false" ht="15" hidden="false" customHeight="true" outlineLevel="0" collapsed="false">
      <c r="A73" s="14" t="s">
        <v>33</v>
      </c>
      <c r="B73" s="14" t="n">
        <v>5</v>
      </c>
      <c r="C73" s="14" t="s">
        <v>113</v>
      </c>
      <c r="D73" s="14" t="s">
        <v>227</v>
      </c>
      <c r="E73" s="51" t="n">
        <v>1</v>
      </c>
      <c r="F73" s="14" t="n">
        <v>0</v>
      </c>
      <c r="G73" s="14" t="n">
        <v>3</v>
      </c>
      <c r="H73" s="14" t="n">
        <v>3</v>
      </c>
      <c r="I73" s="14" t="n">
        <v>6</v>
      </c>
      <c r="J73" s="14" t="n">
        <v>1</v>
      </c>
      <c r="K73" s="14" t="n">
        <v>8</v>
      </c>
      <c r="L73" s="14" t="s">
        <v>222</v>
      </c>
      <c r="M73" s="14" t="s">
        <v>169</v>
      </c>
      <c r="N73" s="14" t="n">
        <v>2</v>
      </c>
      <c r="O73" s="14" t="n">
        <v>2</v>
      </c>
      <c r="P73" s="14" t="n">
        <v>1</v>
      </c>
      <c r="Q73" s="14" t="n">
        <v>0</v>
      </c>
      <c r="R73" s="14" t="n">
        <v>1</v>
      </c>
    </row>
    <row r="74" customFormat="false" ht="15" hidden="false" customHeight="true" outlineLevel="0" collapsed="false">
      <c r="A74" s="11" t="s">
        <v>122</v>
      </c>
      <c r="B74" s="11" t="n">
        <v>17</v>
      </c>
      <c r="C74" s="11" t="s">
        <v>114</v>
      </c>
      <c r="D74" s="11" t="s">
        <v>228</v>
      </c>
      <c r="E74" s="11" t="n">
        <v>0</v>
      </c>
      <c r="F74" s="11" t="n">
        <v>0</v>
      </c>
      <c r="G74" s="11" t="n">
        <v>1</v>
      </c>
      <c r="H74" s="11" t="n">
        <v>1</v>
      </c>
      <c r="I74" s="11" t="n">
        <v>1</v>
      </c>
      <c r="J74" s="11" t="n">
        <v>2</v>
      </c>
      <c r="K74" s="11" t="n">
        <v>4</v>
      </c>
      <c r="L74" s="11" t="s">
        <v>164</v>
      </c>
      <c r="M74" s="11" t="s">
        <v>199</v>
      </c>
      <c r="N74" s="11" t="n">
        <v>2</v>
      </c>
      <c r="O74" s="11" t="n">
        <v>0</v>
      </c>
      <c r="P74" s="11" t="n">
        <v>0</v>
      </c>
      <c r="Q74" s="11" t="n">
        <v>2</v>
      </c>
      <c r="R74" s="11" t="n">
        <v>0</v>
      </c>
    </row>
    <row r="75" customFormat="false" ht="15" hidden="false" customHeight="true" outlineLevel="0" collapsed="false">
      <c r="A75" s="14" t="s">
        <v>34</v>
      </c>
      <c r="B75" s="14" t="n">
        <v>4</v>
      </c>
      <c r="C75" s="14" t="s">
        <v>116</v>
      </c>
      <c r="D75" s="14" t="s">
        <v>229</v>
      </c>
      <c r="E75" s="14" t="n">
        <v>0</v>
      </c>
      <c r="F75" s="14" t="n">
        <v>1</v>
      </c>
      <c r="G75" s="14" t="n">
        <v>0</v>
      </c>
      <c r="H75" s="14" t="n">
        <v>0</v>
      </c>
      <c r="I75" s="14" t="n">
        <v>1</v>
      </c>
      <c r="J75" s="14" t="n">
        <v>0</v>
      </c>
      <c r="K75" s="14" t="n">
        <v>3</v>
      </c>
      <c r="L75" s="14" t="s">
        <v>165</v>
      </c>
      <c r="M75" s="14" t="s">
        <v>184</v>
      </c>
      <c r="N75" s="14" t="n">
        <v>0</v>
      </c>
      <c r="O75" s="14" t="n">
        <v>0</v>
      </c>
      <c r="P75" s="14" t="n">
        <v>2</v>
      </c>
      <c r="Q75" s="14" t="n">
        <v>0</v>
      </c>
      <c r="R75" s="14" t="n">
        <v>0</v>
      </c>
    </row>
    <row r="76" customFormat="false" ht="15" hidden="false" customHeight="true" outlineLevel="0" collapsed="false">
      <c r="A76" s="11" t="s">
        <v>125</v>
      </c>
      <c r="B76" s="11" t="n">
        <v>9</v>
      </c>
      <c r="C76" s="11" t="s">
        <v>113</v>
      </c>
      <c r="D76" s="11" t="s">
        <v>230</v>
      </c>
      <c r="E76" s="11" t="n">
        <v>0</v>
      </c>
      <c r="F76" s="11" t="n">
        <v>0</v>
      </c>
      <c r="G76" s="11" t="n">
        <v>3</v>
      </c>
      <c r="H76" s="11" t="n">
        <v>1</v>
      </c>
      <c r="I76" s="11" t="n">
        <v>0</v>
      </c>
      <c r="J76" s="11" t="n">
        <v>1</v>
      </c>
      <c r="K76" s="11" t="n">
        <v>4</v>
      </c>
      <c r="L76" s="11" t="s">
        <v>211</v>
      </c>
      <c r="M76" s="11" t="s">
        <v>199</v>
      </c>
      <c r="N76" s="11" t="n">
        <v>0</v>
      </c>
      <c r="O76" s="11" t="n">
        <v>1</v>
      </c>
      <c r="P76" s="11" t="n">
        <v>0</v>
      </c>
      <c r="Q76" s="11" t="n">
        <v>1</v>
      </c>
      <c r="R76" s="11" t="n">
        <v>0</v>
      </c>
    </row>
    <row r="77" customFormat="false" ht="15" hidden="false" customHeight="true" outlineLevel="0" collapsed="false">
      <c r="A77" s="14" t="s">
        <v>28</v>
      </c>
      <c r="B77" s="14" t="n">
        <v>3</v>
      </c>
      <c r="C77" s="14" t="s">
        <v>112</v>
      </c>
      <c r="D77" s="14" t="s">
        <v>200</v>
      </c>
      <c r="E77" s="14" t="n">
        <v>0</v>
      </c>
      <c r="F77" s="14" t="n">
        <v>1</v>
      </c>
      <c r="G77" s="14" t="n">
        <v>9</v>
      </c>
      <c r="H77" s="14" t="n">
        <v>5</v>
      </c>
      <c r="I77" s="14" t="n">
        <v>0</v>
      </c>
      <c r="J77" s="14" t="n">
        <v>1</v>
      </c>
      <c r="K77" s="14" t="n">
        <v>6</v>
      </c>
      <c r="L77" s="14" t="s">
        <v>164</v>
      </c>
      <c r="M77" s="14" t="s">
        <v>165</v>
      </c>
      <c r="N77" s="14" t="n">
        <v>0</v>
      </c>
      <c r="O77" s="14" t="n">
        <v>0</v>
      </c>
      <c r="P77" s="14" t="n">
        <v>1</v>
      </c>
      <c r="Q77" s="14" t="n">
        <v>1</v>
      </c>
      <c r="R77" s="14" t="n">
        <v>0</v>
      </c>
    </row>
    <row r="78" customFormat="false" ht="15" hidden="false" customHeight="true" outlineLevel="0" collapsed="false">
      <c r="A78" s="11" t="s">
        <v>123</v>
      </c>
      <c r="B78" s="11" t="n">
        <v>2</v>
      </c>
      <c r="C78" s="11" t="s">
        <v>112</v>
      </c>
      <c r="D78" s="11" t="s">
        <v>231</v>
      </c>
      <c r="E78" s="11" t="n">
        <v>0</v>
      </c>
      <c r="F78" s="11" t="n">
        <v>0</v>
      </c>
      <c r="G78" s="11" t="n">
        <v>0</v>
      </c>
      <c r="H78" s="11" t="n">
        <v>0</v>
      </c>
      <c r="I78" s="11" t="n">
        <v>0</v>
      </c>
      <c r="J78" s="11" t="n">
        <v>0</v>
      </c>
      <c r="K78" s="11" t="n">
        <v>0</v>
      </c>
      <c r="L78" s="11" t="s">
        <v>165</v>
      </c>
      <c r="M78" s="11" t="s">
        <v>165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</row>
    <row r="79" customFormat="false" ht="15" hidden="false" customHeight="true" outlineLevel="0" collapsed="false">
      <c r="A79" s="52" t="s">
        <v>175</v>
      </c>
      <c r="B79" s="52"/>
      <c r="C79" s="52"/>
      <c r="D79" s="52"/>
      <c r="E79" s="52"/>
      <c r="F79" s="52"/>
      <c r="G79" s="52"/>
      <c r="H79" s="52"/>
      <c r="I79" s="52"/>
      <c r="J79" s="52"/>
    </row>
    <row r="80" customFormat="false" ht="24" hidden="false" customHeight="true" outlineLevel="0" collapsed="false">
      <c r="A80" s="53" t="s">
        <v>176</v>
      </c>
      <c r="B80" s="53" t="s">
        <v>156</v>
      </c>
      <c r="C80" s="53" t="s">
        <v>177</v>
      </c>
      <c r="D80" s="53" t="s">
        <v>178</v>
      </c>
      <c r="E80" s="53" t="s">
        <v>84</v>
      </c>
      <c r="F80" s="53" t="s">
        <v>86</v>
      </c>
      <c r="G80" s="53" t="s">
        <v>88</v>
      </c>
      <c r="H80" s="53" t="s">
        <v>90</v>
      </c>
      <c r="I80" s="53" t="s">
        <v>92</v>
      </c>
      <c r="J80" s="53" t="s">
        <v>111</v>
      </c>
    </row>
    <row r="81" customFormat="false" ht="15" hidden="false" customHeight="true" outlineLevel="0" collapsed="false">
      <c r="A81" s="11" t="s">
        <v>201</v>
      </c>
      <c r="B81" s="11" t="s">
        <v>232</v>
      </c>
      <c r="C81" s="11" t="n">
        <v>10</v>
      </c>
      <c r="D81" s="11" t="n">
        <v>5</v>
      </c>
      <c r="E81" s="11" t="n">
        <v>8</v>
      </c>
      <c r="F81" s="11" t="n">
        <v>0</v>
      </c>
      <c r="G81" s="11" t="n">
        <v>3</v>
      </c>
      <c r="H81" s="11" t="n">
        <v>2</v>
      </c>
      <c r="I81" s="54" t="n">
        <v>0.846153846153846</v>
      </c>
      <c r="J81" s="11" t="n">
        <v>0</v>
      </c>
    </row>
    <row r="82" customFormat="false" ht="15" hidden="false" customHeight="true" outlineLevel="0" collapsed="false">
      <c r="A82" s="11" t="s">
        <v>179</v>
      </c>
      <c r="B82" s="11" t="s">
        <v>233</v>
      </c>
      <c r="C82" s="11" t="n">
        <v>3</v>
      </c>
      <c r="D82" s="11" t="n">
        <v>0</v>
      </c>
      <c r="E82" s="11" t="n">
        <v>1</v>
      </c>
      <c r="F82" s="11" t="n">
        <v>0</v>
      </c>
      <c r="G82" s="11" t="n">
        <v>0</v>
      </c>
      <c r="H82" s="11" t="n">
        <v>1</v>
      </c>
      <c r="I82" s="54" t="n">
        <v>0.5</v>
      </c>
      <c r="J82" s="11" t="n">
        <v>1</v>
      </c>
    </row>
    <row r="83" customFormat="false" ht="15" hidden="false" customHeight="true" outlineLevel="0" collapsed="false">
      <c r="A83" s="11" t="s">
        <v>234</v>
      </c>
      <c r="B83" s="11" t="s">
        <v>235</v>
      </c>
      <c r="C83" s="11" t="n">
        <v>2</v>
      </c>
      <c r="D83" s="11" t="n">
        <v>1</v>
      </c>
      <c r="E83" s="11" t="n">
        <v>7</v>
      </c>
      <c r="F83" s="11" t="n">
        <v>0</v>
      </c>
      <c r="G83" s="11" t="n">
        <v>2</v>
      </c>
      <c r="H83" s="11" t="n">
        <v>2</v>
      </c>
      <c r="I83" s="54" t="n">
        <v>0.818181818181818</v>
      </c>
      <c r="J83" s="11" t="n">
        <v>0</v>
      </c>
    </row>
  </sheetData>
  <mergeCells count="9">
    <mergeCell ref="A1:R2"/>
    <mergeCell ref="A5:R5"/>
    <mergeCell ref="A18:J18"/>
    <mergeCell ref="A23:R23"/>
    <mergeCell ref="A38:J38"/>
    <mergeCell ref="A44:R44"/>
    <mergeCell ref="A58:J58"/>
    <mergeCell ref="A64:R64"/>
    <mergeCell ref="A79:J7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700"/>
    <pageSetUpPr fitToPage="false"/>
  </sheetPr>
  <dimension ref="A1:AF54"/>
  <sheetViews>
    <sheetView showFormulas="false" showGridLines="true" showRowColHeaders="true" showZeros="true" rightToLeft="false" tabSelected="true" showOutlineSymbols="true" defaultGridColor="true" view="normal" topLeftCell="A1" colorId="64" zoomScale="45" zoomScaleNormal="45" zoomScalePageLayoutView="100" workbookViewId="0">
      <selection pane="topLeft" activeCell="K3" activeCellId="0" sqref="K3:M3"/>
    </sheetView>
  </sheetViews>
  <sheetFormatPr defaultColWidth="19.65234375" defaultRowHeight="15" customHeight="false" zeroHeight="false" outlineLevelRow="0" outlineLevelCol="0"/>
  <cols>
    <col collapsed="false" customWidth="false" hidden="false" outlineLevel="0" max="16384" min="1" style="56" width="19.65"/>
  </cols>
  <sheetData>
    <row r="1" customFormat="false" ht="15" hidden="false" customHeight="true" outlineLevel="0" collapsed="false">
      <c r="A1" s="24" t="s">
        <v>236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Q1" s="56" t="s">
        <v>108</v>
      </c>
      <c r="R1" s="56" t="s">
        <v>18</v>
      </c>
      <c r="S1" s="56" t="s">
        <v>20</v>
      </c>
      <c r="T1" s="56" t="s">
        <v>37</v>
      </c>
      <c r="U1" s="56" t="s">
        <v>237</v>
      </c>
      <c r="V1" s="56" t="s">
        <v>238</v>
      </c>
      <c r="W1" s="56" t="s">
        <v>239</v>
      </c>
      <c r="X1" s="56" t="s">
        <v>111</v>
      </c>
      <c r="Y1" s="56" t="s">
        <v>133</v>
      </c>
      <c r="Z1" s="56" t="s">
        <v>134</v>
      </c>
      <c r="AA1" s="56" t="s">
        <v>135</v>
      </c>
      <c r="AB1" s="56" t="s">
        <v>136</v>
      </c>
      <c r="AC1" s="56" t="s">
        <v>240</v>
      </c>
      <c r="AD1" s="56" t="s">
        <v>110</v>
      </c>
    </row>
    <row r="2" customFormat="false" ht="15" hidden="false" customHeight="true" outlineLevel="0" collapsed="false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Q2" s="56" t="s">
        <v>24</v>
      </c>
      <c r="R2" s="57" t="n">
        <f aca="false">IF($K$3="Stats brutes",IF($C$3="Total (tous matchs)",SUMIFS(BASE_DATA!$T:$T,BASE_DATA!$G:$G,$Q$2),SUMIFS(BASE_DATA!$T:$T,BASE_DATA!$G:$G,$Q$2,BASE_DATA!$A:$A,INDEX(PARAMS!$D$2:$D$5,MATCH($F$3,PARAMS!$C$2:$C$5,0)))),IF($K$3="Par minute jouée",IFERROR(IF($C$3="Total (tous matchs)",SUMIFS(BASE_DATA!$T:$T,BASE_DATA!$G:$G,$Q$2),SUMIFS(BASE_DATA!$T:$T,BASE_DATA!$G:$G,$Q$2,BASE_DATA!$A:$A,INDEX(PARAMS!$D$2:$D$5,MATCH($F$3,PARAMS!$C$2:$C$5,0))))/IF($C$3="Total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matchs)",SUMIFS(BASE_DATA!$T:$T,BASE_DATA!$G:$G,$Q$2),SUMIFS(BASE_DATA!$T:$T,BASE_DATA!$G:$G,$Q$2,BASE_DATA!$A:$A,INDEX(PARAMS!$D$2:$D$5,MATCH($F$3,PARAMS!$C$2:$C$5,0))))/IF($C$3="Total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1</v>
      </c>
      <c r="S2" s="57" t="n">
        <f aca="false">IF($K$3="Stats brutes",IF($C$3="Total (tous matchs)",SUMIFS(BASE_DATA!$U:$U,BASE_DATA!$G:$G,$Q$2),SUMIFS(BASE_DATA!$U:$U,BASE_DATA!$G:$G,$Q$2,BASE_DATA!$A:$A,INDEX(PARAMS!$D$2:$D$5,MATCH($F$3,PARAMS!$C$2:$C$5,0)))),IF($K$3="Par minute jouée",IFERROR(IF($C$3="Total (tous matchs)",SUMIFS(BASE_DATA!$U:$U,BASE_DATA!$G:$G,$Q$2),SUMIFS(BASE_DATA!$U:$U,BASE_DATA!$G:$G,$Q$2,BASE_DATA!$A:$A,INDEX(PARAMS!$D$2:$D$5,MATCH($F$3,PARAMS!$C$2:$C$5,0))))/IF($C$3="Total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matchs)",SUMIFS(BASE_DATA!$U:$U,BASE_DATA!$G:$G,$Q$2),SUMIFS(BASE_DATA!$U:$U,BASE_DATA!$G:$G,$Q$2,BASE_DATA!$A:$A,INDEX(PARAMS!$D$2:$D$5,MATCH($F$3,PARAMS!$C$2:$C$5,0))))/IF($C$3="Total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0</v>
      </c>
      <c r="T2" s="57" t="n">
        <f aca="false">IF($K$3="Stats brutes",IF($C$3="Total (tous matchs)",SUMIFS(BASE_DATA!$V:$V,BASE_DATA!$G:$G,$Q$2),SUMIFS(BASE_DATA!$V:$V,BASE_DATA!$G:$G,$Q$2,BASE_DATA!$A:$A,INDEX(PARAMS!$D$2:$D$5,MATCH($F$3,PARAMS!$C$2:$C$5,0)))),IF($K$3="Par minute jouée",IFERROR(IF($C$3="Total (tous matchs)",SUMIFS(BASE_DATA!$V:$V,BASE_DATA!$G:$G,$Q$2),SUMIFS(BASE_DATA!$V:$V,BASE_DATA!$G:$G,$Q$2,BASE_DATA!$A:$A,INDEX(PARAMS!$D$2:$D$5,MATCH($F$3,PARAMS!$C$2:$C$5,0))))/IF($C$3="Total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matchs)",SUMIFS(BASE_DATA!$V:$V,BASE_DATA!$G:$G,$Q$2),SUMIFS(BASE_DATA!$V:$V,BASE_DATA!$G:$G,$Q$2,BASE_DATA!$A:$A,INDEX(PARAMS!$D$2:$D$5,MATCH($F$3,PARAMS!$C$2:$C$5,0))))/IF($C$3="Total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4</v>
      </c>
      <c r="U2" s="57" t="n">
        <f aca="false">IF($K$3="Stats brutes",IF($C$3="Total (tous matchs)",SUMIFS(BASE_DATA!$W:$W,BASE_DATA!$G:$G,$Q$2),SUMIFS(BASE_DATA!$W:$W,BASE_DATA!$G:$G,$Q$2,BASE_DATA!$A:$A,INDEX(PARAMS!$D$2:$D$5,MATCH($F$3,PARAMS!$C$2:$C$5,0)))),IF($K$3="Par minute jouée",IFERROR(IF($C$3="Total (tous matchs)",SUMIFS(BASE_DATA!$W:$W,BASE_DATA!$G:$G,$Q$2),SUMIFS(BASE_DATA!$W:$W,BASE_DATA!$G:$G,$Q$2,BASE_DATA!$A:$A,INDEX(PARAMS!$D$2:$D$5,MATCH($F$3,PARAMS!$C$2:$C$5,0))))/IF($C$3="Total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matchs)",SUMIFS(BASE_DATA!$W:$W,BASE_DATA!$G:$G,$Q$2),SUMIFS(BASE_DATA!$W:$W,BASE_DATA!$G:$G,$Q$2,BASE_DATA!$A:$A,INDEX(PARAMS!$D$2:$D$5,MATCH($F$3,PARAMS!$C$2:$C$5,0))))/IF($C$3="Total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3</v>
      </c>
      <c r="V2" s="57" t="n">
        <f aca="false">IF($K$3="Stats brutes",IF($C$3="Total (tous matchs)",SUMIFS(BASE_DATA!$AN:$AN,BASE_DATA!$G:$G,$Q$2),SUMIFS(BASE_DATA!$AN:$AN,BASE_DATA!$G:$G,$Q$2,BASE_DATA!$A:$A,INDEX(PARAMS!$D$2:$D$5,MATCH($F$3,PARAMS!$C$2:$C$5,0)))),IF($K$3="Par minute jouée",IFERROR(IF($C$3="Total (tous matchs)",SUMIFS(BASE_DATA!$AN:$AN,BASE_DATA!$G:$G,$Q$2),SUMIFS(BASE_DATA!$AN:$AN,BASE_DATA!$G:$G,$Q$2,BASE_DATA!$A:$A,INDEX(PARAMS!$D$2:$D$5,MATCH($F$3,PARAMS!$C$2:$C$5,0))))/IF($C$3="Total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matchs)",SUMIFS(BASE_DATA!$AN:$AN,BASE_DATA!$G:$G,$Q$2),SUMIFS(BASE_DATA!$AN:$AN,BASE_DATA!$G:$G,$Q$2,BASE_DATA!$A:$A,INDEX(PARAMS!$D$2:$D$5,MATCH($F$3,PARAMS!$C$2:$C$5,0))))/IF($C$3="Total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1</v>
      </c>
      <c r="W2" s="57" t="n">
        <f aca="false">IF($K$3="Stats brutes",IF($C$3="Total (tous matchs)",SUMIFS(BASE_DATA!$AO:$AO,BASE_DATA!$G:$G,$Q$2),SUMIFS(BASE_DATA!$AO:$AO,BASE_DATA!$G:$G,$Q$2,BASE_DATA!$A:$A,INDEX(PARAMS!$D$2:$D$5,MATCH($F$3,PARAMS!$C$2:$C$5,0)))),IF($K$3="Par minute jouée",IFERROR(IF($C$3="Total (tous matchs)",SUMIFS(BASE_DATA!$AO:$AO,BASE_DATA!$G:$G,$Q$2),SUMIFS(BASE_DATA!$AO:$AO,BASE_DATA!$G:$G,$Q$2,BASE_DATA!$A:$A,INDEX(PARAMS!$D$2:$D$5,MATCH($F$3,PARAMS!$C$2:$C$5,0))))/IF($C$3="Total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matchs)",SUMIFS(BASE_DATA!$AO:$AO,BASE_DATA!$G:$G,$Q$2),SUMIFS(BASE_DATA!$AO:$AO,BASE_DATA!$G:$G,$Q$2,BASE_DATA!$A:$A,INDEX(PARAMS!$D$2:$D$5,MATCH($F$3,PARAMS!$C$2:$C$5,0))))/IF($C$3="Total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4</v>
      </c>
      <c r="X2" s="57" t="n">
        <f aca="false">IF($K$3="Stats brutes",IF($C$3="Total (tous matchs)",SUMIFS(BASE_DATA!$AA:$AA,BASE_DATA!$G:$G,$Q$2),SUMIFS(BASE_DATA!$AA:$AA,BASE_DATA!$G:$G,$Q$2,BASE_DATA!$A:$A,INDEX(PARAMS!$D$2:$D$5,MATCH($F$3,PARAMS!$C$2:$C$5,0)))),IF($K$3="Par minute jouée",IFERROR(IF($C$3="Total (tous matchs)",SUMIFS(BASE_DATA!$AA:$AA,BASE_DATA!$G:$G,$Q$2),SUMIFS(BASE_DATA!$AA:$AA,BASE_DATA!$G:$G,$Q$2,BASE_DATA!$A:$A,INDEX(PARAMS!$D$2:$D$5,MATCH($F$3,PARAMS!$C$2:$C$5,0))))/IF($C$3="Total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matchs)",SUMIFS(BASE_DATA!$AA:$AA,BASE_DATA!$G:$G,$Q$2),SUMIFS(BASE_DATA!$AA:$AA,BASE_DATA!$G:$G,$Q$2,BASE_DATA!$A:$A,INDEX(PARAMS!$D$2:$D$5,MATCH($F$3,PARAMS!$C$2:$C$5,0))))/IF($C$3="Total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5</v>
      </c>
      <c r="Y2" s="57" t="n">
        <f aca="false">IF($K$3="Stats brutes",IF($C$3="Total (tous matchs)",SUMIFS(BASE_DATA!$AH:$AH,BASE_DATA!$G:$G,$Q$2),SUMIFS(BASE_DATA!$AH:$AH,BASE_DATA!$G:$G,$Q$2,BASE_DATA!$A:$A,INDEX(PARAMS!$D$2:$D$5,MATCH($F$3,PARAMS!$C$2:$C$5,0)))),IF($K$3="Par minute jouée",IFERROR(IF($C$3="Total (tous matchs)",SUMIFS(BASE_DATA!$AH:$AH,BASE_DATA!$G:$G,$Q$2),SUMIFS(BASE_DATA!$AH:$AH,BASE_DATA!$G:$G,$Q$2,BASE_DATA!$A:$A,INDEX(PARAMS!$D$2:$D$5,MATCH($F$3,PARAMS!$C$2:$C$5,0))))/IF($C$3="Total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matchs)",SUMIFS(BASE_DATA!$AH:$AH,BASE_DATA!$G:$G,$Q$2),SUMIFS(BASE_DATA!$AH:$AH,BASE_DATA!$G:$G,$Q$2,BASE_DATA!$A:$A,INDEX(PARAMS!$D$2:$D$5,MATCH($F$3,PARAMS!$C$2:$C$5,0))))/IF($C$3="Total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3</v>
      </c>
      <c r="Z2" s="57" t="n">
        <f aca="false">IF($K$3="Stats brutes",IF($C$3="Total (tous matchs)",SUMIFS(BASE_DATA!$AI:$AI,BASE_DATA!$G:$G,$Q$2),SUMIFS(BASE_DATA!$AI:$AI,BASE_DATA!$G:$G,$Q$2,BASE_DATA!$A:$A,INDEX(PARAMS!$D$2:$D$5,MATCH($F$3,PARAMS!$C$2:$C$5,0)))),IF($K$3="Par minute jouée",IFERROR(IF($C$3="Total (tous matchs)",SUMIFS(BASE_DATA!$AI:$AI,BASE_DATA!$G:$G,$Q$2),SUMIFS(BASE_DATA!$AI:$AI,BASE_DATA!$G:$G,$Q$2,BASE_DATA!$A:$A,INDEX(PARAMS!$D$2:$D$5,MATCH($F$3,PARAMS!$C$2:$C$5,0))))/IF($C$3="Total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matchs)",SUMIFS(BASE_DATA!$AI:$AI,BASE_DATA!$G:$G,$Q$2),SUMIFS(BASE_DATA!$AI:$AI,BASE_DATA!$G:$G,$Q$2,BASE_DATA!$A:$A,INDEX(PARAMS!$D$2:$D$5,MATCH($F$3,PARAMS!$C$2:$C$5,0))))/IF($C$3="Total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4</v>
      </c>
      <c r="AA2" s="57" t="n">
        <f aca="false">IF($K$3="Stats brutes",IF($C$3="Total (tous matchs)",SUMIFS(BASE_DATA!$AJ:$AJ,BASE_DATA!$G:$G,$Q$2),SUMIFS(BASE_DATA!$AJ:$AJ,BASE_DATA!$G:$G,$Q$2,BASE_DATA!$A:$A,INDEX(PARAMS!$D$2:$D$5,MATCH($F$3,PARAMS!$C$2:$C$5,0)))),IF($K$3="Par minute jouée",IFERROR(IF($C$3="Total (tous matchs)",SUMIFS(BASE_DATA!$AJ:$AJ,BASE_DATA!$G:$G,$Q$2),SUMIFS(BASE_DATA!$AJ:$AJ,BASE_DATA!$G:$G,$Q$2,BASE_DATA!$A:$A,INDEX(PARAMS!$D$2:$D$5,MATCH($F$3,PARAMS!$C$2:$C$5,0))))/IF($C$3="Total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matchs)",SUMIFS(BASE_DATA!$AJ:$AJ,BASE_DATA!$G:$G,$Q$2),SUMIFS(BASE_DATA!$AJ:$AJ,BASE_DATA!$G:$G,$Q$2,BASE_DATA!$A:$A,INDEX(PARAMS!$D$2:$D$5,MATCH($F$3,PARAMS!$C$2:$C$5,0))))/IF($C$3="Total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1</v>
      </c>
      <c r="AB2" s="57" t="n">
        <f aca="false">IF($K$3="Stats brutes",IF($C$3="Total (tous matchs)",SUMIFS(BASE_DATA!$AK:$AK,BASE_DATA!$G:$G,$Q$2),SUMIFS(BASE_DATA!$AK:$AK,BASE_DATA!$G:$G,$Q$2,BASE_DATA!$A:$A,INDEX(PARAMS!$D$2:$D$5,MATCH($F$3,PARAMS!$C$2:$C$5,0)))),IF($K$3="Par minute jouée",IFERROR(IF($C$3="Total (tous matchs)",SUMIFS(BASE_DATA!$AK:$AK,BASE_DATA!$G:$G,$Q$2),SUMIFS(BASE_DATA!$AK:$AK,BASE_DATA!$G:$G,$Q$2,BASE_DATA!$A:$A,INDEX(PARAMS!$D$2:$D$5,MATCH($F$3,PARAMS!$C$2:$C$5,0))))/IF($C$3="Total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matchs)",SUMIFS(BASE_DATA!$R:$R,BASE_DATA!$G:$G,$Q$2),SUMIFS(BASE_DATA!$R:$R,BASE_DATA!$G:$G,$Q$2,BASE_DATA!$A:$A,INDEX(PARAMS!$D$2:$D$5,MATCH($F$3,PARAMS!$C$2:$C$5,0)))),0),IFERROR(IF($C$3="Total (tous matchs)",SUMIFS(BASE_DATA!$AK:$AK,BASE_DATA!$G:$G,$Q$2),SUMIFS(BASE_DATA!$AK:$AK,BASE_DATA!$G:$G,$Q$2,BASE_DATA!$A:$A,INDEX(PARAMS!$D$2:$D$5,MATCH($F$3,PARAMS!$C$2:$C$5,0))))/IF($C$3="Total (tous matchs)",SUMIFS(BASE_DATA!$R:$R,BASE_DATA!$G:$G,$Q$2),SUMIFS(BASE_DATA!$R:$R,BASE_DATA!$G:$G,$Q$2,BASE_DATA!$A:$A,INDEX(PARAMS!$D$2:$D$5,MATCH($F$3,PARAMS!$C$2:$C$5,0))))*40,0)))</f>
        <v>3</v>
      </c>
      <c r="AC2" s="58" t="n">
        <f aca="false">IF($C$3="Total (tous matchs)",SUMIFS(BASE_DATA!$R:$R,BASE_DATA!$G:$G,$Q$2),SUMIFS(BASE_DATA!$R:$R,BASE_DATA!$G:$G,$Q$2,BASE_DATA!$A:$A,INDEX(PARAMS!$D$2:$D$5,MATCH($F$3,PARAMS!$C$2:$C$5,0))))</f>
        <v>17.5</v>
      </c>
      <c r="AD2" s="59" t="n">
        <f aca="false">IF($C$3="Total (tous matchs)",COUNTIFS(BASE_DATA!$G:$G,$Q$2),COUNTIFS(BASE_DATA!$G:$G,$Q$2,BASE_DATA!$A:$A,INDEX(PARAMS!$D$2:$D$5,MATCH($F$3,PARAMS!$C$2:$C$5,0))))</f>
        <v>1</v>
      </c>
    </row>
    <row r="3" s="63" customFormat="true" ht="46.65" hidden="false" customHeight="true" outlineLevel="0" collapsed="false">
      <c r="A3" s="60"/>
      <c r="B3" s="61" t="s">
        <v>241</v>
      </c>
      <c r="C3" s="62" t="s">
        <v>242</v>
      </c>
      <c r="D3" s="60"/>
      <c r="E3" s="61" t="s">
        <v>243</v>
      </c>
      <c r="F3" s="62" t="s">
        <v>244</v>
      </c>
      <c r="G3" s="60"/>
      <c r="H3" s="61" t="s">
        <v>245</v>
      </c>
      <c r="I3" s="62" t="s">
        <v>246</v>
      </c>
      <c r="J3" s="61" t="s">
        <v>247</v>
      </c>
      <c r="K3" s="62" t="s">
        <v>248</v>
      </c>
      <c r="L3" s="62"/>
      <c r="M3" s="60"/>
      <c r="N3" s="60"/>
      <c r="Q3" s="63" t="s">
        <v>28</v>
      </c>
      <c r="R3" s="64" t="n">
        <f aca="false">IF($K$3="Stats brutes",IF($C$3="Total (tous matchs)",SUMIFS(BASE_DATA!$T:$T,BASE_DATA!$G:$G,$Q$3),SUMIFS(BASE_DATA!$T:$T,BASE_DATA!$G:$G,$Q$3,BASE_DATA!$A:$A,INDEX(PARAMS!$D$2:$D$5,MATCH($F$3,PARAMS!$C$2:$C$5,0)))),IF($K$3="Par minute jouée",IFERROR(IF($C$3="Total (tous matchs)",SUMIFS(BASE_DATA!$T:$T,BASE_DATA!$G:$G,$Q$3),SUMIFS(BASE_DATA!$T:$T,BASE_DATA!$G:$G,$Q$3,BASE_DATA!$A:$A,INDEX(PARAMS!$D$2:$D$5,MATCH($F$3,PARAMS!$C$2:$C$5,0))))/IF($C$3="Total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matchs)",SUMIFS(BASE_DATA!$T:$T,BASE_DATA!$G:$G,$Q$3),SUMIFS(BASE_DATA!$T:$T,BASE_DATA!$G:$G,$Q$3,BASE_DATA!$A:$A,INDEX(PARAMS!$D$2:$D$5,MATCH($F$3,PARAMS!$C$2:$C$5,0))))/IF($C$3="Total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0</v>
      </c>
      <c r="S3" s="64" t="n">
        <f aca="false">IF($K$3="Stats brutes",IF($C$3="Total (tous matchs)",SUMIFS(BASE_DATA!$U:$U,BASE_DATA!$G:$G,$Q$3),SUMIFS(BASE_DATA!$U:$U,BASE_DATA!$G:$G,$Q$3,BASE_DATA!$A:$A,INDEX(PARAMS!$D$2:$D$5,MATCH($F$3,PARAMS!$C$2:$C$5,0)))),IF($K$3="Par minute jouée",IFERROR(IF($C$3="Total (tous matchs)",SUMIFS(BASE_DATA!$U:$U,BASE_DATA!$G:$G,$Q$3),SUMIFS(BASE_DATA!$U:$U,BASE_DATA!$G:$G,$Q$3,BASE_DATA!$A:$A,INDEX(PARAMS!$D$2:$D$5,MATCH($F$3,PARAMS!$C$2:$C$5,0))))/IF($C$3="Total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matchs)",SUMIFS(BASE_DATA!$U:$U,BASE_DATA!$G:$G,$Q$3),SUMIFS(BASE_DATA!$U:$U,BASE_DATA!$G:$G,$Q$3,BASE_DATA!$A:$A,INDEX(PARAMS!$D$2:$D$5,MATCH($F$3,PARAMS!$C$2:$C$5,0))))/IF($C$3="Total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0</v>
      </c>
      <c r="T3" s="64" t="n">
        <f aca="false">IF($K$3="Stats brutes",IF($C$3="Total (tous matchs)",SUMIFS(BASE_DATA!$V:$V,BASE_DATA!$G:$G,$Q$3),SUMIFS(BASE_DATA!$V:$V,BASE_DATA!$G:$G,$Q$3,BASE_DATA!$A:$A,INDEX(PARAMS!$D$2:$D$5,MATCH($F$3,PARAMS!$C$2:$C$5,0)))),IF($K$3="Par minute jouée",IFERROR(IF($C$3="Total (tous matchs)",SUMIFS(BASE_DATA!$V:$V,BASE_DATA!$G:$G,$Q$3),SUMIFS(BASE_DATA!$V:$V,BASE_DATA!$G:$G,$Q$3,BASE_DATA!$A:$A,INDEX(PARAMS!$D$2:$D$5,MATCH($F$3,PARAMS!$C$2:$C$5,0))))/IF($C$3="Total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matchs)",SUMIFS(BASE_DATA!$V:$V,BASE_DATA!$G:$G,$Q$3),SUMIFS(BASE_DATA!$V:$V,BASE_DATA!$G:$G,$Q$3,BASE_DATA!$A:$A,INDEX(PARAMS!$D$2:$D$5,MATCH($F$3,PARAMS!$C$2:$C$5,0))))/IF($C$3="Total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3</v>
      </c>
      <c r="U3" s="64" t="n">
        <f aca="false">IF($K$3="Stats brutes",IF($C$3="Total (tous matchs)",SUMIFS(BASE_DATA!$W:$W,BASE_DATA!$G:$G,$Q$3),SUMIFS(BASE_DATA!$W:$W,BASE_DATA!$G:$G,$Q$3,BASE_DATA!$A:$A,INDEX(PARAMS!$D$2:$D$5,MATCH($F$3,PARAMS!$C$2:$C$5,0)))),IF($K$3="Par minute jouée",IFERROR(IF($C$3="Total (tous matchs)",SUMIFS(BASE_DATA!$W:$W,BASE_DATA!$G:$G,$Q$3),SUMIFS(BASE_DATA!$W:$W,BASE_DATA!$G:$G,$Q$3,BASE_DATA!$A:$A,INDEX(PARAMS!$D$2:$D$5,MATCH($F$3,PARAMS!$C$2:$C$5,0))))/IF($C$3="Total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matchs)",SUMIFS(BASE_DATA!$W:$W,BASE_DATA!$G:$G,$Q$3),SUMIFS(BASE_DATA!$W:$W,BASE_DATA!$G:$G,$Q$3,BASE_DATA!$A:$A,INDEX(PARAMS!$D$2:$D$5,MATCH($F$3,PARAMS!$C$2:$C$5,0))))/IF($C$3="Total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1</v>
      </c>
      <c r="V3" s="64" t="n">
        <f aca="false">IF($K$3="Stats brutes",IF($C$3="Total (tous matchs)",SUMIFS(BASE_DATA!$AN:$AN,BASE_DATA!$G:$G,$Q$3),SUMIFS(BASE_DATA!$AN:$AN,BASE_DATA!$G:$G,$Q$3,BASE_DATA!$A:$A,INDEX(PARAMS!$D$2:$D$5,MATCH($F$3,PARAMS!$C$2:$C$5,0)))),IF($K$3="Par minute jouée",IFERROR(IF($C$3="Total (tous matchs)",SUMIFS(BASE_DATA!$AN:$AN,BASE_DATA!$G:$G,$Q$3),SUMIFS(BASE_DATA!$AN:$AN,BASE_DATA!$G:$G,$Q$3,BASE_DATA!$A:$A,INDEX(PARAMS!$D$2:$D$5,MATCH($F$3,PARAMS!$C$2:$C$5,0))))/IF($C$3="Total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matchs)",SUMIFS(BASE_DATA!$AN:$AN,BASE_DATA!$G:$G,$Q$3),SUMIFS(BASE_DATA!$AN:$AN,BASE_DATA!$G:$G,$Q$3,BASE_DATA!$A:$A,INDEX(PARAMS!$D$2:$D$5,MATCH($F$3,PARAMS!$C$2:$C$5,0))))/IF($C$3="Total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2</v>
      </c>
      <c r="W3" s="64" t="n">
        <f aca="false">IF($K$3="Stats brutes",IF($C$3="Total (tous matchs)",SUMIFS(BASE_DATA!$AO:$AO,BASE_DATA!$G:$G,$Q$3),SUMIFS(BASE_DATA!$AO:$AO,BASE_DATA!$G:$G,$Q$3,BASE_DATA!$A:$A,INDEX(PARAMS!$D$2:$D$5,MATCH($F$3,PARAMS!$C$2:$C$5,0)))),IF($K$3="Par minute jouée",IFERROR(IF($C$3="Total (tous matchs)",SUMIFS(BASE_DATA!$AO:$AO,BASE_DATA!$G:$G,$Q$3),SUMIFS(BASE_DATA!$AO:$AO,BASE_DATA!$G:$G,$Q$3,BASE_DATA!$A:$A,INDEX(PARAMS!$D$2:$D$5,MATCH($F$3,PARAMS!$C$2:$C$5,0))))/IF($C$3="Total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matchs)",SUMIFS(BASE_DATA!$AO:$AO,BASE_DATA!$G:$G,$Q$3),SUMIFS(BASE_DATA!$AO:$AO,BASE_DATA!$G:$G,$Q$3,BASE_DATA!$A:$A,INDEX(PARAMS!$D$2:$D$5,MATCH($F$3,PARAMS!$C$2:$C$5,0))))/IF($C$3="Total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1</v>
      </c>
      <c r="X3" s="64" t="n">
        <f aca="false">IF($K$3="Stats brutes",IF($C$3="Total (tous matchs)",SUMIFS(BASE_DATA!$AA:$AA,BASE_DATA!$G:$G,$Q$3),SUMIFS(BASE_DATA!$AA:$AA,BASE_DATA!$G:$G,$Q$3,BASE_DATA!$A:$A,INDEX(PARAMS!$D$2:$D$5,MATCH($F$3,PARAMS!$C$2:$C$5,0)))),IF($K$3="Par minute jouée",IFERROR(IF($C$3="Total (tous matchs)",SUMIFS(BASE_DATA!$AA:$AA,BASE_DATA!$G:$G,$Q$3),SUMIFS(BASE_DATA!$AA:$AA,BASE_DATA!$G:$G,$Q$3,BASE_DATA!$A:$A,INDEX(PARAMS!$D$2:$D$5,MATCH($F$3,PARAMS!$C$2:$C$5,0))))/IF($C$3="Total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matchs)",SUMIFS(BASE_DATA!$AA:$AA,BASE_DATA!$G:$G,$Q$3),SUMIFS(BASE_DATA!$AA:$AA,BASE_DATA!$G:$G,$Q$3,BASE_DATA!$A:$A,INDEX(PARAMS!$D$2:$D$5,MATCH($F$3,PARAMS!$C$2:$C$5,0))))/IF($C$3="Total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2</v>
      </c>
      <c r="Y3" s="64" t="n">
        <f aca="false">IF($K$3="Stats brutes",IF($C$3="Total (tous matchs)",SUMIFS(BASE_DATA!$AH:$AH,BASE_DATA!$G:$G,$Q$3),SUMIFS(BASE_DATA!$AH:$AH,BASE_DATA!$G:$G,$Q$3,BASE_DATA!$A:$A,INDEX(PARAMS!$D$2:$D$5,MATCH($F$3,PARAMS!$C$2:$C$5,0)))),IF($K$3="Par minute jouée",IFERROR(IF($C$3="Total (tous matchs)",SUMIFS(BASE_DATA!$AH:$AH,BASE_DATA!$G:$G,$Q$3),SUMIFS(BASE_DATA!$AH:$AH,BASE_DATA!$G:$G,$Q$3,BASE_DATA!$A:$A,INDEX(PARAMS!$D$2:$D$5,MATCH($F$3,PARAMS!$C$2:$C$5,0))))/IF($C$3="Total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matchs)",SUMIFS(BASE_DATA!$AH:$AH,BASE_DATA!$G:$G,$Q$3),SUMIFS(BASE_DATA!$AH:$AH,BASE_DATA!$G:$G,$Q$3,BASE_DATA!$A:$A,INDEX(PARAMS!$D$2:$D$5,MATCH($F$3,PARAMS!$C$2:$C$5,0))))/IF($C$3="Total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1</v>
      </c>
      <c r="Z3" s="64" t="n">
        <f aca="false">IF($K$3="Stats brutes",IF($C$3="Total (tous matchs)",SUMIFS(BASE_DATA!$AI:$AI,BASE_DATA!$G:$G,$Q$3),SUMIFS(BASE_DATA!$AI:$AI,BASE_DATA!$G:$G,$Q$3,BASE_DATA!$A:$A,INDEX(PARAMS!$D$2:$D$5,MATCH($F$3,PARAMS!$C$2:$C$5,0)))),IF($K$3="Par minute jouée",IFERROR(IF($C$3="Total (tous matchs)",SUMIFS(BASE_DATA!$AI:$AI,BASE_DATA!$G:$G,$Q$3),SUMIFS(BASE_DATA!$AI:$AI,BASE_DATA!$G:$G,$Q$3,BASE_DATA!$A:$A,INDEX(PARAMS!$D$2:$D$5,MATCH($F$3,PARAMS!$C$2:$C$5,0))))/IF($C$3="Total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matchs)",SUMIFS(BASE_DATA!$AI:$AI,BASE_DATA!$G:$G,$Q$3),SUMIFS(BASE_DATA!$AI:$AI,BASE_DATA!$G:$G,$Q$3,BASE_DATA!$A:$A,INDEX(PARAMS!$D$2:$D$5,MATCH($F$3,PARAMS!$C$2:$C$5,0))))/IF($C$3="Total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1</v>
      </c>
      <c r="AA3" s="64" t="n">
        <f aca="false">IF($K$3="Stats brutes",IF($C$3="Total (tous matchs)",SUMIFS(BASE_DATA!$AJ:$AJ,BASE_DATA!$G:$G,$Q$3),SUMIFS(BASE_DATA!$AJ:$AJ,BASE_DATA!$G:$G,$Q$3,BASE_DATA!$A:$A,INDEX(PARAMS!$D$2:$D$5,MATCH($F$3,PARAMS!$C$2:$C$5,0)))),IF($K$3="Par minute jouée",IFERROR(IF($C$3="Total (tous matchs)",SUMIFS(BASE_DATA!$AJ:$AJ,BASE_DATA!$G:$G,$Q$3),SUMIFS(BASE_DATA!$AJ:$AJ,BASE_DATA!$G:$G,$Q$3,BASE_DATA!$A:$A,INDEX(PARAMS!$D$2:$D$5,MATCH($F$3,PARAMS!$C$2:$C$5,0))))/IF($C$3="Total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matchs)",SUMIFS(BASE_DATA!$AJ:$AJ,BASE_DATA!$G:$G,$Q$3),SUMIFS(BASE_DATA!$AJ:$AJ,BASE_DATA!$G:$G,$Q$3,BASE_DATA!$A:$A,INDEX(PARAMS!$D$2:$D$5,MATCH($F$3,PARAMS!$C$2:$C$5,0))))/IF($C$3="Total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0</v>
      </c>
      <c r="AB3" s="64" t="n">
        <f aca="false">IF($K$3="Stats brutes",IF($C$3="Total (tous matchs)",SUMIFS(BASE_DATA!$AK:$AK,BASE_DATA!$G:$G,$Q$3),SUMIFS(BASE_DATA!$AK:$AK,BASE_DATA!$G:$G,$Q$3,BASE_DATA!$A:$A,INDEX(PARAMS!$D$2:$D$5,MATCH($F$3,PARAMS!$C$2:$C$5,0)))),IF($K$3="Par minute jouée",IFERROR(IF($C$3="Total (tous matchs)",SUMIFS(BASE_DATA!$AK:$AK,BASE_DATA!$G:$G,$Q$3),SUMIFS(BASE_DATA!$AK:$AK,BASE_DATA!$G:$G,$Q$3,BASE_DATA!$A:$A,INDEX(PARAMS!$D$2:$D$5,MATCH($F$3,PARAMS!$C$2:$C$5,0))))/IF($C$3="Total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matchs)",SUMIFS(BASE_DATA!$R:$R,BASE_DATA!$G:$G,$Q$3),SUMIFS(BASE_DATA!$R:$R,BASE_DATA!$G:$G,$Q$3,BASE_DATA!$A:$A,INDEX(PARAMS!$D$2:$D$5,MATCH($F$3,PARAMS!$C$2:$C$5,0)))),0),IFERROR(IF($C$3="Total (tous matchs)",SUMIFS(BASE_DATA!$AK:$AK,BASE_DATA!$G:$G,$Q$3),SUMIFS(BASE_DATA!$AK:$AK,BASE_DATA!$G:$G,$Q$3,BASE_DATA!$A:$A,INDEX(PARAMS!$D$2:$D$5,MATCH($F$3,PARAMS!$C$2:$C$5,0))))/IF($C$3="Total (tous matchs)",SUMIFS(BASE_DATA!$R:$R,BASE_DATA!$G:$G,$Q$3),SUMIFS(BASE_DATA!$R:$R,BASE_DATA!$G:$G,$Q$3,BASE_DATA!$A:$A,INDEX(PARAMS!$D$2:$D$5,MATCH($F$3,PARAMS!$C$2:$C$5,0))))*40,0)))</f>
        <v>1</v>
      </c>
      <c r="AC3" s="65" t="n">
        <f aca="false">IF($C$3="Total (tous matchs)",SUMIFS(BASE_DATA!$R:$R,BASE_DATA!$G:$G,$Q$3),SUMIFS(BASE_DATA!$R:$R,BASE_DATA!$G:$G,$Q$3,BASE_DATA!$A:$A,INDEX(PARAMS!$D$2:$D$5,MATCH($F$3,PARAMS!$C$2:$C$5,0))))</f>
        <v>11</v>
      </c>
      <c r="AD3" s="66" t="n">
        <f aca="false">IF($C$3="Total (tous matchs)",COUNTIFS(BASE_DATA!$G:$G,$Q$3),COUNTIFS(BASE_DATA!$G:$G,$Q$3,BASE_DATA!$A:$A,INDEX(PARAMS!$D$2:$D$5,MATCH($F$3,PARAMS!$C$2:$C$5,0))))</f>
        <v>1</v>
      </c>
    </row>
    <row r="4" customFormat="false" ht="15" hidden="false" customHeight="true" outlineLevel="0" collapsed="false">
      <c r="B4" s="67" t="s">
        <v>249</v>
      </c>
      <c r="C4" s="68"/>
      <c r="D4" s="68"/>
      <c r="Q4" s="56" t="s">
        <v>33</v>
      </c>
      <c r="R4" s="57" t="n">
        <f aca="false">IF($K$3="Stats brutes",IF($C$3="Total (tous matchs)",SUMIFS(BASE_DATA!$T:$T,BASE_DATA!$G:$G,$Q$4),SUMIFS(BASE_DATA!$T:$T,BASE_DATA!$G:$G,$Q$4,BASE_DATA!$A:$A,INDEX(PARAMS!$D$2:$D$5,MATCH($F$3,PARAMS!$C$2:$C$5,0)))),IF($K$3="Par minute jouée",IFERROR(IF($C$3="Total (tous matchs)",SUMIFS(BASE_DATA!$T:$T,BASE_DATA!$G:$G,$Q$4),SUMIFS(BASE_DATA!$T:$T,BASE_DATA!$G:$G,$Q$4,BASE_DATA!$A:$A,INDEX(PARAMS!$D$2:$D$5,MATCH($F$3,PARAMS!$C$2:$C$5,0))))/IF($C$3="Total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matchs)",SUMIFS(BASE_DATA!$T:$T,BASE_DATA!$G:$G,$Q$4),SUMIFS(BASE_DATA!$T:$T,BASE_DATA!$G:$G,$Q$4,BASE_DATA!$A:$A,INDEX(PARAMS!$D$2:$D$5,MATCH($F$3,PARAMS!$C$2:$C$5,0))))/IF($C$3="Total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S4" s="57" t="n">
        <f aca="false">IF($K$3="Stats brutes",IF($C$3="Total (tous matchs)",SUMIFS(BASE_DATA!$U:$U,BASE_DATA!$G:$G,$Q$4),SUMIFS(BASE_DATA!$U:$U,BASE_DATA!$G:$G,$Q$4,BASE_DATA!$A:$A,INDEX(PARAMS!$D$2:$D$5,MATCH($F$3,PARAMS!$C$2:$C$5,0)))),IF($K$3="Par minute jouée",IFERROR(IF($C$3="Total (tous matchs)",SUMIFS(BASE_DATA!$U:$U,BASE_DATA!$G:$G,$Q$4),SUMIFS(BASE_DATA!$U:$U,BASE_DATA!$G:$G,$Q$4,BASE_DATA!$A:$A,INDEX(PARAMS!$D$2:$D$5,MATCH($F$3,PARAMS!$C$2:$C$5,0))))/IF($C$3="Total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matchs)",SUMIFS(BASE_DATA!$U:$U,BASE_DATA!$G:$G,$Q$4),SUMIFS(BASE_DATA!$U:$U,BASE_DATA!$G:$G,$Q$4,BASE_DATA!$A:$A,INDEX(PARAMS!$D$2:$D$5,MATCH($F$3,PARAMS!$C$2:$C$5,0))))/IF($C$3="Total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T4" s="57" t="n">
        <f aca="false">IF($K$3="Stats brutes",IF($C$3="Total (tous matchs)",SUMIFS(BASE_DATA!$V:$V,BASE_DATA!$G:$G,$Q$4),SUMIFS(BASE_DATA!$V:$V,BASE_DATA!$G:$G,$Q$4,BASE_DATA!$A:$A,INDEX(PARAMS!$D$2:$D$5,MATCH($F$3,PARAMS!$C$2:$C$5,0)))),IF($K$3="Par minute jouée",IFERROR(IF($C$3="Total (tous matchs)",SUMIFS(BASE_DATA!$V:$V,BASE_DATA!$G:$G,$Q$4),SUMIFS(BASE_DATA!$V:$V,BASE_DATA!$G:$G,$Q$4,BASE_DATA!$A:$A,INDEX(PARAMS!$D$2:$D$5,MATCH($F$3,PARAMS!$C$2:$C$5,0))))/IF($C$3="Total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matchs)",SUMIFS(BASE_DATA!$V:$V,BASE_DATA!$G:$G,$Q$4),SUMIFS(BASE_DATA!$V:$V,BASE_DATA!$G:$G,$Q$4,BASE_DATA!$A:$A,INDEX(PARAMS!$D$2:$D$5,MATCH($F$3,PARAMS!$C$2:$C$5,0))))/IF($C$3="Total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U4" s="57" t="n">
        <f aca="false">IF($K$3="Stats brutes",IF($C$3="Total (tous matchs)",SUMIFS(BASE_DATA!$W:$W,BASE_DATA!$G:$G,$Q$4),SUMIFS(BASE_DATA!$W:$W,BASE_DATA!$G:$G,$Q$4,BASE_DATA!$A:$A,INDEX(PARAMS!$D$2:$D$5,MATCH($F$3,PARAMS!$C$2:$C$5,0)))),IF($K$3="Par minute jouée",IFERROR(IF($C$3="Total (tous matchs)",SUMIFS(BASE_DATA!$W:$W,BASE_DATA!$G:$G,$Q$4),SUMIFS(BASE_DATA!$W:$W,BASE_DATA!$G:$G,$Q$4,BASE_DATA!$A:$A,INDEX(PARAMS!$D$2:$D$5,MATCH($F$3,PARAMS!$C$2:$C$5,0))))/IF($C$3="Total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matchs)",SUMIFS(BASE_DATA!$W:$W,BASE_DATA!$G:$G,$Q$4),SUMIFS(BASE_DATA!$W:$W,BASE_DATA!$G:$G,$Q$4,BASE_DATA!$A:$A,INDEX(PARAMS!$D$2:$D$5,MATCH($F$3,PARAMS!$C$2:$C$5,0))))/IF($C$3="Total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V4" s="57" t="n">
        <f aca="false">IF($K$3="Stats brutes",IF($C$3="Total (tous matchs)",SUMIFS(BASE_DATA!$AN:$AN,BASE_DATA!$G:$G,$Q$4),SUMIFS(BASE_DATA!$AN:$AN,BASE_DATA!$G:$G,$Q$4,BASE_DATA!$A:$A,INDEX(PARAMS!$D$2:$D$5,MATCH($F$3,PARAMS!$C$2:$C$5,0)))),IF($K$3="Par minute jouée",IFERROR(IF($C$3="Total (tous matchs)",SUMIFS(BASE_DATA!$AN:$AN,BASE_DATA!$G:$G,$Q$4),SUMIFS(BASE_DATA!$AN:$AN,BASE_DATA!$G:$G,$Q$4,BASE_DATA!$A:$A,INDEX(PARAMS!$D$2:$D$5,MATCH($F$3,PARAMS!$C$2:$C$5,0))))/IF($C$3="Total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matchs)",SUMIFS(BASE_DATA!$AN:$AN,BASE_DATA!$G:$G,$Q$4),SUMIFS(BASE_DATA!$AN:$AN,BASE_DATA!$G:$G,$Q$4,BASE_DATA!$A:$A,INDEX(PARAMS!$D$2:$D$5,MATCH($F$3,PARAMS!$C$2:$C$5,0))))/IF($C$3="Total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0</v>
      </c>
      <c r="W4" s="57" t="n">
        <f aca="false">IF($K$3="Stats brutes",IF($C$3="Total (tous matchs)",SUMIFS(BASE_DATA!$AO:$AO,BASE_DATA!$G:$G,$Q$4),SUMIFS(BASE_DATA!$AO:$AO,BASE_DATA!$G:$G,$Q$4,BASE_DATA!$A:$A,INDEX(PARAMS!$D$2:$D$5,MATCH($F$3,PARAMS!$C$2:$C$5,0)))),IF($K$3="Par minute jouée",IFERROR(IF($C$3="Total (tous matchs)",SUMIFS(BASE_DATA!$AO:$AO,BASE_DATA!$G:$G,$Q$4),SUMIFS(BASE_DATA!$AO:$AO,BASE_DATA!$G:$G,$Q$4,BASE_DATA!$A:$A,INDEX(PARAMS!$D$2:$D$5,MATCH($F$3,PARAMS!$C$2:$C$5,0))))/IF($C$3="Total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matchs)",SUMIFS(BASE_DATA!$AO:$AO,BASE_DATA!$G:$G,$Q$4),SUMIFS(BASE_DATA!$AO:$AO,BASE_DATA!$G:$G,$Q$4,BASE_DATA!$A:$A,INDEX(PARAMS!$D$2:$D$5,MATCH($F$3,PARAMS!$C$2:$C$5,0))))/IF($C$3="Total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X4" s="57" t="n">
        <f aca="false">IF($K$3="Stats brutes",IF($C$3="Total (tous matchs)",SUMIFS(BASE_DATA!$AA:$AA,BASE_DATA!$G:$G,$Q$4),SUMIFS(BASE_DATA!$AA:$AA,BASE_DATA!$G:$G,$Q$4,BASE_DATA!$A:$A,INDEX(PARAMS!$D$2:$D$5,MATCH($F$3,PARAMS!$C$2:$C$5,0)))),IF($K$3="Par minute jouée",IFERROR(IF($C$3="Total (tous matchs)",SUMIFS(BASE_DATA!$AA:$AA,BASE_DATA!$G:$G,$Q$4),SUMIFS(BASE_DATA!$AA:$AA,BASE_DATA!$G:$G,$Q$4,BASE_DATA!$A:$A,INDEX(PARAMS!$D$2:$D$5,MATCH($F$3,PARAMS!$C$2:$C$5,0))))/IF($C$3="Total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matchs)",SUMIFS(BASE_DATA!$AA:$AA,BASE_DATA!$G:$G,$Q$4),SUMIFS(BASE_DATA!$AA:$AA,BASE_DATA!$G:$G,$Q$4,BASE_DATA!$A:$A,INDEX(PARAMS!$D$2:$D$5,MATCH($F$3,PARAMS!$C$2:$C$5,0))))/IF($C$3="Total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8</v>
      </c>
      <c r="Y4" s="57" t="n">
        <f aca="false">IF($K$3="Stats brutes",IF($C$3="Total (tous matchs)",SUMIFS(BASE_DATA!$AH:$AH,BASE_DATA!$G:$G,$Q$4),SUMIFS(BASE_DATA!$AH:$AH,BASE_DATA!$G:$G,$Q$4,BASE_DATA!$A:$A,INDEX(PARAMS!$D$2:$D$5,MATCH($F$3,PARAMS!$C$2:$C$5,0)))),IF($K$3="Par minute jouée",IFERROR(IF($C$3="Total (tous matchs)",SUMIFS(BASE_DATA!$AH:$AH,BASE_DATA!$G:$G,$Q$4),SUMIFS(BASE_DATA!$AH:$AH,BASE_DATA!$G:$G,$Q$4,BASE_DATA!$A:$A,INDEX(PARAMS!$D$2:$D$5,MATCH($F$3,PARAMS!$C$2:$C$5,0))))/IF($C$3="Total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matchs)",SUMIFS(BASE_DATA!$AH:$AH,BASE_DATA!$G:$G,$Q$4),SUMIFS(BASE_DATA!$AH:$AH,BASE_DATA!$G:$G,$Q$4,BASE_DATA!$A:$A,INDEX(PARAMS!$D$2:$D$5,MATCH($F$3,PARAMS!$C$2:$C$5,0))))/IF($C$3="Total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4</v>
      </c>
      <c r="Z4" s="57" t="n">
        <f aca="false">IF($K$3="Stats brutes",IF($C$3="Total (tous matchs)",SUMIFS(BASE_DATA!$AI:$AI,BASE_DATA!$G:$G,$Q$4),SUMIFS(BASE_DATA!$AI:$AI,BASE_DATA!$G:$G,$Q$4,BASE_DATA!$A:$A,INDEX(PARAMS!$D$2:$D$5,MATCH($F$3,PARAMS!$C$2:$C$5,0)))),IF($K$3="Par minute jouée",IFERROR(IF($C$3="Total (tous matchs)",SUMIFS(BASE_DATA!$AI:$AI,BASE_DATA!$G:$G,$Q$4),SUMIFS(BASE_DATA!$AI:$AI,BASE_DATA!$G:$G,$Q$4,BASE_DATA!$A:$A,INDEX(PARAMS!$D$2:$D$5,MATCH($F$3,PARAMS!$C$2:$C$5,0))))/IF($C$3="Total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matchs)",SUMIFS(BASE_DATA!$AI:$AI,BASE_DATA!$G:$G,$Q$4),SUMIFS(BASE_DATA!$AI:$AI,BASE_DATA!$G:$G,$Q$4,BASE_DATA!$A:$A,INDEX(PARAMS!$D$2:$D$5,MATCH($F$3,PARAMS!$C$2:$C$5,0))))/IF($C$3="Total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9</v>
      </c>
      <c r="AA4" s="57" t="n">
        <f aca="false">IF($K$3="Stats brutes",IF($C$3="Total (tous matchs)",SUMIFS(BASE_DATA!$AJ:$AJ,BASE_DATA!$G:$G,$Q$4),SUMIFS(BASE_DATA!$AJ:$AJ,BASE_DATA!$G:$G,$Q$4,BASE_DATA!$A:$A,INDEX(PARAMS!$D$2:$D$5,MATCH($F$3,PARAMS!$C$2:$C$5,0)))),IF($K$3="Par minute jouée",IFERROR(IF($C$3="Total (tous matchs)",SUMIFS(BASE_DATA!$AJ:$AJ,BASE_DATA!$G:$G,$Q$4),SUMIFS(BASE_DATA!$AJ:$AJ,BASE_DATA!$G:$G,$Q$4,BASE_DATA!$A:$A,INDEX(PARAMS!$D$2:$D$5,MATCH($F$3,PARAMS!$C$2:$C$5,0))))/IF($C$3="Total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matchs)",SUMIFS(BASE_DATA!$AJ:$AJ,BASE_DATA!$G:$G,$Q$4),SUMIFS(BASE_DATA!$AJ:$AJ,BASE_DATA!$G:$G,$Q$4,BASE_DATA!$A:$A,INDEX(PARAMS!$D$2:$D$5,MATCH($F$3,PARAMS!$C$2:$C$5,0))))/IF($C$3="Total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AB4" s="57" t="n">
        <f aca="false">IF($K$3="Stats brutes",IF($C$3="Total (tous matchs)",SUMIFS(BASE_DATA!$AK:$AK,BASE_DATA!$G:$G,$Q$4),SUMIFS(BASE_DATA!$AK:$AK,BASE_DATA!$G:$G,$Q$4,BASE_DATA!$A:$A,INDEX(PARAMS!$D$2:$D$5,MATCH($F$3,PARAMS!$C$2:$C$5,0)))),IF($K$3="Par minute jouée",IFERROR(IF($C$3="Total (tous matchs)",SUMIFS(BASE_DATA!$AK:$AK,BASE_DATA!$G:$G,$Q$4),SUMIFS(BASE_DATA!$AK:$AK,BASE_DATA!$G:$G,$Q$4,BASE_DATA!$A:$A,INDEX(PARAMS!$D$2:$D$5,MATCH($F$3,PARAMS!$C$2:$C$5,0))))/IF($C$3="Total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matchs)",SUMIFS(BASE_DATA!$R:$R,BASE_DATA!$G:$G,$Q$4),SUMIFS(BASE_DATA!$R:$R,BASE_DATA!$G:$G,$Q$4,BASE_DATA!$A:$A,INDEX(PARAMS!$D$2:$D$5,MATCH($F$3,PARAMS!$C$2:$C$5,0)))),0),IFERROR(IF($C$3="Total (tous matchs)",SUMIFS(BASE_DATA!$AK:$AK,BASE_DATA!$G:$G,$Q$4),SUMIFS(BASE_DATA!$AK:$AK,BASE_DATA!$G:$G,$Q$4,BASE_DATA!$A:$A,INDEX(PARAMS!$D$2:$D$5,MATCH($F$3,PARAMS!$C$2:$C$5,0))))/IF($C$3="Total (tous matchs)",SUMIFS(BASE_DATA!$R:$R,BASE_DATA!$G:$G,$Q$4),SUMIFS(BASE_DATA!$R:$R,BASE_DATA!$G:$G,$Q$4,BASE_DATA!$A:$A,INDEX(PARAMS!$D$2:$D$5,MATCH($F$3,PARAMS!$C$2:$C$5,0))))*40,0)))</f>
        <v>1</v>
      </c>
      <c r="AC4" s="58" t="n">
        <f aca="false">IF($C$3="Total (tous matchs)",SUMIFS(BASE_DATA!$R:$R,BASE_DATA!$G:$G,$Q$4),SUMIFS(BASE_DATA!$R:$R,BASE_DATA!$G:$G,$Q$4,BASE_DATA!$A:$A,INDEX(PARAMS!$D$2:$D$5,MATCH($F$3,PARAMS!$C$2:$C$5,0))))</f>
        <v>9</v>
      </c>
      <c r="AD4" s="59" t="n">
        <f aca="false">IF($C$3="Total (tous matchs)",COUNTIFS(BASE_DATA!$G:$G,$Q$4),COUNTIFS(BASE_DATA!$G:$G,$Q$4,BASE_DATA!$A:$A,INDEX(PARAMS!$D$2:$D$5,MATCH($F$3,PARAMS!$C$2:$C$5,0))))</f>
        <v>1</v>
      </c>
    </row>
    <row r="5" customFormat="false" ht="15" hidden="false" customHeight="true" outlineLevel="0" collapsed="false">
      <c r="B5" s="69" t="s">
        <v>250</v>
      </c>
      <c r="C5" s="70" t="s">
        <v>33</v>
      </c>
      <c r="E5" s="69" t="s">
        <v>251</v>
      </c>
      <c r="F5" s="71" t="s">
        <v>24</v>
      </c>
      <c r="H5" s="69" t="s">
        <v>252</v>
      </c>
      <c r="I5" s="72" t="s">
        <v>120</v>
      </c>
      <c r="K5" s="73"/>
      <c r="L5" s="73"/>
      <c r="Q5" s="56" t="s">
        <v>35</v>
      </c>
      <c r="R5" s="57" t="n">
        <f aca="false">IF($K$3="Stats brutes",IF($C$3="Total (tous matchs)",SUMIFS(BASE_DATA!$T:$T,BASE_DATA!$G:$G,$Q$5),SUMIFS(BASE_DATA!$T:$T,BASE_DATA!$G:$G,$Q$5,BASE_DATA!$A:$A,INDEX(PARAMS!$D$2:$D$5,MATCH($F$3,PARAMS!$C$2:$C$5,0)))),IF($K$3="Par minute jouée",IFERROR(IF($C$3="Total (tous matchs)",SUMIFS(BASE_DATA!$T:$T,BASE_DATA!$G:$G,$Q$5),SUMIFS(BASE_DATA!$T:$T,BASE_DATA!$G:$G,$Q$5,BASE_DATA!$A:$A,INDEX(PARAMS!$D$2:$D$5,MATCH($F$3,PARAMS!$C$2:$C$5,0))))/IF($C$3="Total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matchs)",SUMIFS(BASE_DATA!$T:$T,BASE_DATA!$G:$G,$Q$5),SUMIFS(BASE_DATA!$T:$T,BASE_DATA!$G:$G,$Q$5,BASE_DATA!$A:$A,INDEX(PARAMS!$D$2:$D$5,MATCH($F$3,PARAMS!$C$2:$C$5,0))))/IF($C$3="Total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S5" s="57" t="n">
        <f aca="false">IF($K$3="Stats brutes",IF($C$3="Total (tous matchs)",SUMIFS(BASE_DATA!$U:$U,BASE_DATA!$G:$G,$Q$5),SUMIFS(BASE_DATA!$U:$U,BASE_DATA!$G:$G,$Q$5,BASE_DATA!$A:$A,INDEX(PARAMS!$D$2:$D$5,MATCH($F$3,PARAMS!$C$2:$C$5,0)))),IF($K$3="Par minute jouée",IFERROR(IF($C$3="Total (tous matchs)",SUMIFS(BASE_DATA!$U:$U,BASE_DATA!$G:$G,$Q$5),SUMIFS(BASE_DATA!$U:$U,BASE_DATA!$G:$G,$Q$5,BASE_DATA!$A:$A,INDEX(PARAMS!$D$2:$D$5,MATCH($F$3,PARAMS!$C$2:$C$5,0))))/IF($C$3="Total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matchs)",SUMIFS(BASE_DATA!$U:$U,BASE_DATA!$G:$G,$Q$5),SUMIFS(BASE_DATA!$U:$U,BASE_DATA!$G:$G,$Q$5,BASE_DATA!$A:$A,INDEX(PARAMS!$D$2:$D$5,MATCH($F$3,PARAMS!$C$2:$C$5,0))))/IF($C$3="Total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T5" s="57" t="n">
        <f aca="false">IF($K$3="Stats brutes",IF($C$3="Total (tous matchs)",SUMIFS(BASE_DATA!$V:$V,BASE_DATA!$G:$G,$Q$5),SUMIFS(BASE_DATA!$V:$V,BASE_DATA!$G:$G,$Q$5,BASE_DATA!$A:$A,INDEX(PARAMS!$D$2:$D$5,MATCH($F$3,PARAMS!$C$2:$C$5,0)))),IF($K$3="Par minute jouée",IFERROR(IF($C$3="Total (tous matchs)",SUMIFS(BASE_DATA!$V:$V,BASE_DATA!$G:$G,$Q$5),SUMIFS(BASE_DATA!$V:$V,BASE_DATA!$G:$G,$Q$5,BASE_DATA!$A:$A,INDEX(PARAMS!$D$2:$D$5,MATCH($F$3,PARAMS!$C$2:$C$5,0))))/IF($C$3="Total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matchs)",SUMIFS(BASE_DATA!$V:$V,BASE_DATA!$G:$G,$Q$5),SUMIFS(BASE_DATA!$V:$V,BASE_DATA!$G:$G,$Q$5,BASE_DATA!$A:$A,INDEX(PARAMS!$D$2:$D$5,MATCH($F$3,PARAMS!$C$2:$C$5,0))))/IF($C$3="Total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U5" s="57" t="n">
        <f aca="false">IF($K$3="Stats brutes",IF($C$3="Total (tous matchs)",SUMIFS(BASE_DATA!$W:$W,BASE_DATA!$G:$G,$Q$5),SUMIFS(BASE_DATA!$W:$W,BASE_DATA!$G:$G,$Q$5,BASE_DATA!$A:$A,INDEX(PARAMS!$D$2:$D$5,MATCH($F$3,PARAMS!$C$2:$C$5,0)))),IF($K$3="Par minute jouée",IFERROR(IF($C$3="Total (tous matchs)",SUMIFS(BASE_DATA!$W:$W,BASE_DATA!$G:$G,$Q$5),SUMIFS(BASE_DATA!$W:$W,BASE_DATA!$G:$G,$Q$5,BASE_DATA!$A:$A,INDEX(PARAMS!$D$2:$D$5,MATCH($F$3,PARAMS!$C$2:$C$5,0))))/IF($C$3="Total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matchs)",SUMIFS(BASE_DATA!$W:$W,BASE_DATA!$G:$G,$Q$5),SUMIFS(BASE_DATA!$W:$W,BASE_DATA!$G:$G,$Q$5,BASE_DATA!$A:$A,INDEX(PARAMS!$D$2:$D$5,MATCH($F$3,PARAMS!$C$2:$C$5,0))))/IF($C$3="Total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V5" s="57" t="n">
        <f aca="false">IF($K$3="Stats brutes",IF($C$3="Total (tous matchs)",SUMIFS(BASE_DATA!$AN:$AN,BASE_DATA!$G:$G,$Q$5),SUMIFS(BASE_DATA!$AN:$AN,BASE_DATA!$G:$G,$Q$5,BASE_DATA!$A:$A,INDEX(PARAMS!$D$2:$D$5,MATCH($F$3,PARAMS!$C$2:$C$5,0)))),IF($K$3="Par minute jouée",IFERROR(IF($C$3="Total (tous matchs)",SUMIFS(BASE_DATA!$AN:$AN,BASE_DATA!$G:$G,$Q$5),SUMIFS(BASE_DATA!$AN:$AN,BASE_DATA!$G:$G,$Q$5,BASE_DATA!$A:$A,INDEX(PARAMS!$D$2:$D$5,MATCH($F$3,PARAMS!$C$2:$C$5,0))))/IF($C$3="Total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matchs)",SUMIFS(BASE_DATA!$AN:$AN,BASE_DATA!$G:$G,$Q$5),SUMIFS(BASE_DATA!$AN:$AN,BASE_DATA!$G:$G,$Q$5,BASE_DATA!$A:$A,INDEX(PARAMS!$D$2:$D$5,MATCH($F$3,PARAMS!$C$2:$C$5,0))))/IF($C$3="Total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W5" s="57" t="n">
        <f aca="false">IF($K$3="Stats brutes",IF($C$3="Total (tous matchs)",SUMIFS(BASE_DATA!$AO:$AO,BASE_DATA!$G:$G,$Q$5),SUMIFS(BASE_DATA!$AO:$AO,BASE_DATA!$G:$G,$Q$5,BASE_DATA!$A:$A,INDEX(PARAMS!$D$2:$D$5,MATCH($F$3,PARAMS!$C$2:$C$5,0)))),IF($K$3="Par minute jouée",IFERROR(IF($C$3="Total (tous matchs)",SUMIFS(BASE_DATA!$AO:$AO,BASE_DATA!$G:$G,$Q$5),SUMIFS(BASE_DATA!$AO:$AO,BASE_DATA!$G:$G,$Q$5,BASE_DATA!$A:$A,INDEX(PARAMS!$D$2:$D$5,MATCH($F$3,PARAMS!$C$2:$C$5,0))))/IF($C$3="Total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matchs)",SUMIFS(BASE_DATA!$AO:$AO,BASE_DATA!$G:$G,$Q$5),SUMIFS(BASE_DATA!$AO:$AO,BASE_DATA!$G:$G,$Q$5,BASE_DATA!$A:$A,INDEX(PARAMS!$D$2:$D$5,MATCH($F$3,PARAMS!$C$2:$C$5,0))))/IF($C$3="Total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X5" s="57" t="n">
        <f aca="false">IF($K$3="Stats brutes",IF($C$3="Total (tous matchs)",SUMIFS(BASE_DATA!$AA:$AA,BASE_DATA!$G:$G,$Q$5),SUMIFS(BASE_DATA!$AA:$AA,BASE_DATA!$G:$G,$Q$5,BASE_DATA!$A:$A,INDEX(PARAMS!$D$2:$D$5,MATCH($F$3,PARAMS!$C$2:$C$5,0)))),IF($K$3="Par minute jouée",IFERROR(IF($C$3="Total (tous matchs)",SUMIFS(BASE_DATA!$AA:$AA,BASE_DATA!$G:$G,$Q$5),SUMIFS(BASE_DATA!$AA:$AA,BASE_DATA!$G:$G,$Q$5,BASE_DATA!$A:$A,INDEX(PARAMS!$D$2:$D$5,MATCH($F$3,PARAMS!$C$2:$C$5,0))))/IF($C$3="Total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matchs)",SUMIFS(BASE_DATA!$AA:$AA,BASE_DATA!$G:$G,$Q$5),SUMIFS(BASE_DATA!$AA:$AA,BASE_DATA!$G:$G,$Q$5,BASE_DATA!$A:$A,INDEX(PARAMS!$D$2:$D$5,MATCH($F$3,PARAMS!$C$2:$C$5,0))))/IF($C$3="Total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Y5" s="57" t="n">
        <f aca="false">IF($K$3="Stats brutes",IF($C$3="Total (tous matchs)",SUMIFS(BASE_DATA!$AH:$AH,BASE_DATA!$G:$G,$Q$5),SUMIFS(BASE_DATA!$AH:$AH,BASE_DATA!$G:$G,$Q$5,BASE_DATA!$A:$A,INDEX(PARAMS!$D$2:$D$5,MATCH($F$3,PARAMS!$C$2:$C$5,0)))),IF($K$3="Par minute jouée",IFERROR(IF($C$3="Total (tous matchs)",SUMIFS(BASE_DATA!$AH:$AH,BASE_DATA!$G:$G,$Q$5),SUMIFS(BASE_DATA!$AH:$AH,BASE_DATA!$G:$G,$Q$5,BASE_DATA!$A:$A,INDEX(PARAMS!$D$2:$D$5,MATCH($F$3,PARAMS!$C$2:$C$5,0))))/IF($C$3="Total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matchs)",SUMIFS(BASE_DATA!$AH:$AH,BASE_DATA!$G:$G,$Q$5),SUMIFS(BASE_DATA!$AH:$AH,BASE_DATA!$G:$G,$Q$5,BASE_DATA!$A:$A,INDEX(PARAMS!$D$2:$D$5,MATCH($F$3,PARAMS!$C$2:$C$5,0))))/IF($C$3="Total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Z5" s="57" t="n">
        <f aca="false">IF($K$3="Stats brutes",IF($C$3="Total (tous matchs)",SUMIFS(BASE_DATA!$AI:$AI,BASE_DATA!$G:$G,$Q$5),SUMIFS(BASE_DATA!$AI:$AI,BASE_DATA!$G:$G,$Q$5,BASE_DATA!$A:$A,INDEX(PARAMS!$D$2:$D$5,MATCH($F$3,PARAMS!$C$2:$C$5,0)))),IF($K$3="Par minute jouée",IFERROR(IF($C$3="Total (tous matchs)",SUMIFS(BASE_DATA!$AI:$AI,BASE_DATA!$G:$G,$Q$5),SUMIFS(BASE_DATA!$AI:$AI,BASE_DATA!$G:$G,$Q$5,BASE_DATA!$A:$A,INDEX(PARAMS!$D$2:$D$5,MATCH($F$3,PARAMS!$C$2:$C$5,0))))/IF($C$3="Total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matchs)",SUMIFS(BASE_DATA!$AI:$AI,BASE_DATA!$G:$G,$Q$5),SUMIFS(BASE_DATA!$AI:$AI,BASE_DATA!$G:$G,$Q$5,BASE_DATA!$A:$A,INDEX(PARAMS!$D$2:$D$5,MATCH($F$3,PARAMS!$C$2:$C$5,0))))/IF($C$3="Total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AA5" s="57" t="n">
        <f aca="false">IF($K$3="Stats brutes",IF($C$3="Total (tous matchs)",SUMIFS(BASE_DATA!$AJ:$AJ,BASE_DATA!$G:$G,$Q$5),SUMIFS(BASE_DATA!$AJ:$AJ,BASE_DATA!$G:$G,$Q$5,BASE_DATA!$A:$A,INDEX(PARAMS!$D$2:$D$5,MATCH($F$3,PARAMS!$C$2:$C$5,0)))),IF($K$3="Par minute jouée",IFERROR(IF($C$3="Total (tous matchs)",SUMIFS(BASE_DATA!$AJ:$AJ,BASE_DATA!$G:$G,$Q$5),SUMIFS(BASE_DATA!$AJ:$AJ,BASE_DATA!$G:$G,$Q$5,BASE_DATA!$A:$A,INDEX(PARAMS!$D$2:$D$5,MATCH($F$3,PARAMS!$C$2:$C$5,0))))/IF($C$3="Total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matchs)",SUMIFS(BASE_DATA!$AJ:$AJ,BASE_DATA!$G:$G,$Q$5),SUMIFS(BASE_DATA!$AJ:$AJ,BASE_DATA!$G:$G,$Q$5,BASE_DATA!$A:$A,INDEX(PARAMS!$D$2:$D$5,MATCH($F$3,PARAMS!$C$2:$C$5,0))))/IF($C$3="Total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AB5" s="57" t="n">
        <f aca="false">IF($K$3="Stats brutes",IF($C$3="Total (tous matchs)",SUMIFS(BASE_DATA!$AK:$AK,BASE_DATA!$G:$G,$Q$5),SUMIFS(BASE_DATA!$AK:$AK,BASE_DATA!$G:$G,$Q$5,BASE_DATA!$A:$A,INDEX(PARAMS!$D$2:$D$5,MATCH($F$3,PARAMS!$C$2:$C$5,0)))),IF($K$3="Par minute jouée",IFERROR(IF($C$3="Total (tous matchs)",SUMIFS(BASE_DATA!$AK:$AK,BASE_DATA!$G:$G,$Q$5),SUMIFS(BASE_DATA!$AK:$AK,BASE_DATA!$G:$G,$Q$5,BASE_DATA!$A:$A,INDEX(PARAMS!$D$2:$D$5,MATCH($F$3,PARAMS!$C$2:$C$5,0))))/IF($C$3="Total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matchs)",SUMIFS(BASE_DATA!$R:$R,BASE_DATA!$G:$G,$Q$5),SUMIFS(BASE_DATA!$R:$R,BASE_DATA!$G:$G,$Q$5,BASE_DATA!$A:$A,INDEX(PARAMS!$D$2:$D$5,MATCH($F$3,PARAMS!$C$2:$C$5,0)))),0),IFERROR(IF($C$3="Total (tous matchs)",SUMIFS(BASE_DATA!$AK:$AK,BASE_DATA!$G:$G,$Q$5),SUMIFS(BASE_DATA!$AK:$AK,BASE_DATA!$G:$G,$Q$5,BASE_DATA!$A:$A,INDEX(PARAMS!$D$2:$D$5,MATCH($F$3,PARAMS!$C$2:$C$5,0))))/IF($C$3="Total (tous matchs)",SUMIFS(BASE_DATA!$R:$R,BASE_DATA!$G:$G,$Q$5),SUMIFS(BASE_DATA!$R:$R,BASE_DATA!$G:$G,$Q$5,BASE_DATA!$A:$A,INDEX(PARAMS!$D$2:$D$5,MATCH($F$3,PARAMS!$C$2:$C$5,0))))*40,0)))</f>
        <v>0</v>
      </c>
      <c r="AC5" s="58" t="n">
        <f aca="false">IF($C$3="Total (tous matchs)",SUMIFS(BASE_DATA!$R:$R,BASE_DATA!$G:$G,$Q$5),SUMIFS(BASE_DATA!$R:$R,BASE_DATA!$G:$G,$Q$5,BASE_DATA!$A:$A,INDEX(PARAMS!$D$2:$D$5,MATCH($F$3,PARAMS!$C$2:$C$5,0))))</f>
        <v>0</v>
      </c>
      <c r="AD5" s="59" t="n">
        <f aca="false">IF($C$3="Total (tous matchs)",COUNTIFS(BASE_DATA!$G:$G,$Q$5),COUNTIFS(BASE_DATA!$G:$G,$Q$5,BASE_DATA!$A:$A,INDEX(PARAMS!$D$2:$D$5,MATCH($F$3,PARAMS!$C$2:$C$5,0))))</f>
        <v>0</v>
      </c>
    </row>
    <row r="6" customFormat="false" ht="15" hidden="false" customHeight="true" outlineLevel="0" collapsed="false">
      <c r="K6" s="73"/>
      <c r="L6" s="73"/>
      <c r="Q6" s="56" t="s">
        <v>27</v>
      </c>
      <c r="R6" s="57" t="n">
        <f aca="false">IF($K$3="Stats brutes",IF($C$3="Total (tous matchs)",SUMIFS(BASE_DATA!$T:$T,BASE_DATA!$G:$G,$Q$6),SUMIFS(BASE_DATA!$T:$T,BASE_DATA!$G:$G,$Q$6,BASE_DATA!$A:$A,INDEX(PARAMS!$D$2:$D$5,MATCH($F$3,PARAMS!$C$2:$C$5,0)))),IF($K$3="Par minute jouée",IFERROR(IF($C$3="Total (tous matchs)",SUMIFS(BASE_DATA!$T:$T,BASE_DATA!$G:$G,$Q$6),SUMIFS(BASE_DATA!$T:$T,BASE_DATA!$G:$G,$Q$6,BASE_DATA!$A:$A,INDEX(PARAMS!$D$2:$D$5,MATCH($F$3,PARAMS!$C$2:$C$5,0))))/IF($C$3="Total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matchs)",SUMIFS(BASE_DATA!$T:$T,BASE_DATA!$G:$G,$Q$6),SUMIFS(BASE_DATA!$T:$T,BASE_DATA!$G:$G,$Q$6,BASE_DATA!$A:$A,INDEX(PARAMS!$D$2:$D$5,MATCH($F$3,PARAMS!$C$2:$C$5,0))))/IF($C$3="Total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1</v>
      </c>
      <c r="S6" s="57" t="n">
        <f aca="false">IF($K$3="Stats brutes",IF($C$3="Total (tous matchs)",SUMIFS(BASE_DATA!$U:$U,BASE_DATA!$G:$G,$Q$6),SUMIFS(BASE_DATA!$U:$U,BASE_DATA!$G:$G,$Q$6,BASE_DATA!$A:$A,INDEX(PARAMS!$D$2:$D$5,MATCH($F$3,PARAMS!$C$2:$C$5,0)))),IF($K$3="Par minute jouée",IFERROR(IF($C$3="Total (tous matchs)",SUMIFS(BASE_DATA!$U:$U,BASE_DATA!$G:$G,$Q$6),SUMIFS(BASE_DATA!$U:$U,BASE_DATA!$G:$G,$Q$6,BASE_DATA!$A:$A,INDEX(PARAMS!$D$2:$D$5,MATCH($F$3,PARAMS!$C$2:$C$5,0))))/IF($C$3="Total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matchs)",SUMIFS(BASE_DATA!$U:$U,BASE_DATA!$G:$G,$Q$6),SUMIFS(BASE_DATA!$U:$U,BASE_DATA!$G:$G,$Q$6,BASE_DATA!$A:$A,INDEX(PARAMS!$D$2:$D$5,MATCH($F$3,PARAMS!$C$2:$C$5,0))))/IF($C$3="Total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0</v>
      </c>
      <c r="T6" s="57" t="n">
        <f aca="false">IF($K$3="Stats brutes",IF($C$3="Total (tous matchs)",SUMIFS(BASE_DATA!$V:$V,BASE_DATA!$G:$G,$Q$6),SUMIFS(BASE_DATA!$V:$V,BASE_DATA!$G:$G,$Q$6,BASE_DATA!$A:$A,INDEX(PARAMS!$D$2:$D$5,MATCH($F$3,PARAMS!$C$2:$C$5,0)))),IF($K$3="Par minute jouée",IFERROR(IF($C$3="Total (tous matchs)",SUMIFS(BASE_DATA!$V:$V,BASE_DATA!$G:$G,$Q$6),SUMIFS(BASE_DATA!$V:$V,BASE_DATA!$G:$G,$Q$6,BASE_DATA!$A:$A,INDEX(PARAMS!$D$2:$D$5,MATCH($F$3,PARAMS!$C$2:$C$5,0))))/IF($C$3="Total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matchs)",SUMIFS(BASE_DATA!$V:$V,BASE_DATA!$G:$G,$Q$6),SUMIFS(BASE_DATA!$V:$V,BASE_DATA!$G:$G,$Q$6,BASE_DATA!$A:$A,INDEX(PARAMS!$D$2:$D$5,MATCH($F$3,PARAMS!$C$2:$C$5,0))))/IF($C$3="Total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7</v>
      </c>
      <c r="U6" s="57" t="n">
        <f aca="false">IF($K$3="Stats brutes",IF($C$3="Total (tous matchs)",SUMIFS(BASE_DATA!$W:$W,BASE_DATA!$G:$G,$Q$6),SUMIFS(BASE_DATA!$W:$W,BASE_DATA!$G:$G,$Q$6,BASE_DATA!$A:$A,INDEX(PARAMS!$D$2:$D$5,MATCH($F$3,PARAMS!$C$2:$C$5,0)))),IF($K$3="Par minute jouée",IFERROR(IF($C$3="Total (tous matchs)",SUMIFS(BASE_DATA!$W:$W,BASE_DATA!$G:$G,$Q$6),SUMIFS(BASE_DATA!$W:$W,BASE_DATA!$G:$G,$Q$6,BASE_DATA!$A:$A,INDEX(PARAMS!$D$2:$D$5,MATCH($F$3,PARAMS!$C$2:$C$5,0))))/IF($C$3="Total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matchs)",SUMIFS(BASE_DATA!$W:$W,BASE_DATA!$G:$G,$Q$6),SUMIFS(BASE_DATA!$W:$W,BASE_DATA!$G:$G,$Q$6,BASE_DATA!$A:$A,INDEX(PARAMS!$D$2:$D$5,MATCH($F$3,PARAMS!$C$2:$C$5,0))))/IF($C$3="Total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4</v>
      </c>
      <c r="V6" s="57" t="n">
        <f aca="false">IF($K$3="Stats brutes",IF($C$3="Total (tous matchs)",SUMIFS(BASE_DATA!$AN:$AN,BASE_DATA!$G:$G,$Q$6),SUMIFS(BASE_DATA!$AN:$AN,BASE_DATA!$G:$G,$Q$6,BASE_DATA!$A:$A,INDEX(PARAMS!$D$2:$D$5,MATCH($F$3,PARAMS!$C$2:$C$5,0)))),IF($K$3="Par minute jouée",IFERROR(IF($C$3="Total (tous matchs)",SUMIFS(BASE_DATA!$AN:$AN,BASE_DATA!$G:$G,$Q$6),SUMIFS(BASE_DATA!$AN:$AN,BASE_DATA!$G:$G,$Q$6,BASE_DATA!$A:$A,INDEX(PARAMS!$D$2:$D$5,MATCH($F$3,PARAMS!$C$2:$C$5,0))))/IF($C$3="Total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matchs)",SUMIFS(BASE_DATA!$AN:$AN,BASE_DATA!$G:$G,$Q$6),SUMIFS(BASE_DATA!$AN:$AN,BASE_DATA!$G:$G,$Q$6,BASE_DATA!$A:$A,INDEX(PARAMS!$D$2:$D$5,MATCH($F$3,PARAMS!$C$2:$C$5,0))))/IF($C$3="Total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0</v>
      </c>
      <c r="W6" s="57" t="n">
        <f aca="false">IF($K$3="Stats brutes",IF($C$3="Total (tous matchs)",SUMIFS(BASE_DATA!$AO:$AO,BASE_DATA!$G:$G,$Q$6),SUMIFS(BASE_DATA!$AO:$AO,BASE_DATA!$G:$G,$Q$6,BASE_DATA!$A:$A,INDEX(PARAMS!$D$2:$D$5,MATCH($F$3,PARAMS!$C$2:$C$5,0)))),IF($K$3="Par minute jouée",IFERROR(IF($C$3="Total (tous matchs)",SUMIFS(BASE_DATA!$AO:$AO,BASE_DATA!$G:$G,$Q$6),SUMIFS(BASE_DATA!$AO:$AO,BASE_DATA!$G:$G,$Q$6,BASE_DATA!$A:$A,INDEX(PARAMS!$D$2:$D$5,MATCH($F$3,PARAMS!$C$2:$C$5,0))))/IF($C$3="Total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matchs)",SUMIFS(BASE_DATA!$AO:$AO,BASE_DATA!$G:$G,$Q$6),SUMIFS(BASE_DATA!$AO:$AO,BASE_DATA!$G:$G,$Q$6,BASE_DATA!$A:$A,INDEX(PARAMS!$D$2:$D$5,MATCH($F$3,PARAMS!$C$2:$C$5,0))))/IF($C$3="Total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1</v>
      </c>
      <c r="X6" s="57" t="n">
        <f aca="false">IF($K$3="Stats brutes",IF($C$3="Total (tous matchs)",SUMIFS(BASE_DATA!$AA:$AA,BASE_DATA!$G:$G,$Q$6),SUMIFS(BASE_DATA!$AA:$AA,BASE_DATA!$G:$G,$Q$6,BASE_DATA!$A:$A,INDEX(PARAMS!$D$2:$D$5,MATCH($F$3,PARAMS!$C$2:$C$5,0)))),IF($K$3="Par minute jouée",IFERROR(IF($C$3="Total (tous matchs)",SUMIFS(BASE_DATA!$AA:$AA,BASE_DATA!$G:$G,$Q$6),SUMIFS(BASE_DATA!$AA:$AA,BASE_DATA!$G:$G,$Q$6,BASE_DATA!$A:$A,INDEX(PARAMS!$D$2:$D$5,MATCH($F$3,PARAMS!$C$2:$C$5,0))))/IF($C$3="Total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matchs)",SUMIFS(BASE_DATA!$AA:$AA,BASE_DATA!$G:$G,$Q$6),SUMIFS(BASE_DATA!$AA:$AA,BASE_DATA!$G:$G,$Q$6,BASE_DATA!$A:$A,INDEX(PARAMS!$D$2:$D$5,MATCH($F$3,PARAMS!$C$2:$C$5,0))))/IF($C$3="Total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4</v>
      </c>
      <c r="Y6" s="57" t="n">
        <f aca="false">IF($K$3="Stats brutes",IF($C$3="Total (tous matchs)",SUMIFS(BASE_DATA!$AH:$AH,BASE_DATA!$G:$G,$Q$6),SUMIFS(BASE_DATA!$AH:$AH,BASE_DATA!$G:$G,$Q$6,BASE_DATA!$A:$A,INDEX(PARAMS!$D$2:$D$5,MATCH($F$3,PARAMS!$C$2:$C$5,0)))),IF($K$3="Par minute jouée",IFERROR(IF($C$3="Total (tous matchs)",SUMIFS(BASE_DATA!$AH:$AH,BASE_DATA!$G:$G,$Q$6),SUMIFS(BASE_DATA!$AH:$AH,BASE_DATA!$G:$G,$Q$6,BASE_DATA!$A:$A,INDEX(PARAMS!$D$2:$D$5,MATCH($F$3,PARAMS!$C$2:$C$5,0))))/IF($C$3="Total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matchs)",SUMIFS(BASE_DATA!$AH:$AH,BASE_DATA!$G:$G,$Q$6),SUMIFS(BASE_DATA!$AH:$AH,BASE_DATA!$G:$G,$Q$6,BASE_DATA!$A:$A,INDEX(PARAMS!$D$2:$D$5,MATCH($F$3,PARAMS!$C$2:$C$5,0))))/IF($C$3="Total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9</v>
      </c>
      <c r="Z6" s="57" t="n">
        <f aca="false">IF($K$3="Stats brutes",IF($C$3="Total (tous matchs)",SUMIFS(BASE_DATA!$AI:$AI,BASE_DATA!$G:$G,$Q$6),SUMIFS(BASE_DATA!$AI:$AI,BASE_DATA!$G:$G,$Q$6,BASE_DATA!$A:$A,INDEX(PARAMS!$D$2:$D$5,MATCH($F$3,PARAMS!$C$2:$C$5,0)))),IF($K$3="Par minute jouée",IFERROR(IF($C$3="Total (tous matchs)",SUMIFS(BASE_DATA!$AI:$AI,BASE_DATA!$G:$G,$Q$6),SUMIFS(BASE_DATA!$AI:$AI,BASE_DATA!$G:$G,$Q$6,BASE_DATA!$A:$A,INDEX(PARAMS!$D$2:$D$5,MATCH($F$3,PARAMS!$C$2:$C$5,0))))/IF($C$3="Total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matchs)",SUMIFS(BASE_DATA!$AI:$AI,BASE_DATA!$G:$G,$Q$6),SUMIFS(BASE_DATA!$AI:$AI,BASE_DATA!$G:$G,$Q$6,BASE_DATA!$A:$A,INDEX(PARAMS!$D$2:$D$5,MATCH($F$3,PARAMS!$C$2:$C$5,0))))/IF($C$3="Total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9</v>
      </c>
      <c r="AA6" s="57" t="n">
        <f aca="false">IF($K$3="Stats brutes",IF($C$3="Total (tous matchs)",SUMIFS(BASE_DATA!$AJ:$AJ,BASE_DATA!$G:$G,$Q$6),SUMIFS(BASE_DATA!$AJ:$AJ,BASE_DATA!$G:$G,$Q$6,BASE_DATA!$A:$A,INDEX(PARAMS!$D$2:$D$5,MATCH($F$3,PARAMS!$C$2:$C$5,0)))),IF($K$3="Par minute jouée",IFERROR(IF($C$3="Total (tous matchs)",SUMIFS(BASE_DATA!$AJ:$AJ,BASE_DATA!$G:$G,$Q$6),SUMIFS(BASE_DATA!$AJ:$AJ,BASE_DATA!$G:$G,$Q$6,BASE_DATA!$A:$A,INDEX(PARAMS!$D$2:$D$5,MATCH($F$3,PARAMS!$C$2:$C$5,0))))/IF($C$3="Total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matchs)",SUMIFS(BASE_DATA!$AJ:$AJ,BASE_DATA!$G:$G,$Q$6),SUMIFS(BASE_DATA!$AJ:$AJ,BASE_DATA!$G:$G,$Q$6,BASE_DATA!$A:$A,INDEX(PARAMS!$D$2:$D$5,MATCH($F$3,PARAMS!$C$2:$C$5,0))))/IF($C$3="Total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0</v>
      </c>
      <c r="AB6" s="57" t="n">
        <f aca="false">IF($K$3="Stats brutes",IF($C$3="Total (tous matchs)",SUMIFS(BASE_DATA!$AK:$AK,BASE_DATA!$G:$G,$Q$6),SUMIFS(BASE_DATA!$AK:$AK,BASE_DATA!$G:$G,$Q$6,BASE_DATA!$A:$A,INDEX(PARAMS!$D$2:$D$5,MATCH($F$3,PARAMS!$C$2:$C$5,0)))),IF($K$3="Par minute jouée",IFERROR(IF($C$3="Total (tous matchs)",SUMIFS(BASE_DATA!$AK:$AK,BASE_DATA!$G:$G,$Q$6),SUMIFS(BASE_DATA!$AK:$AK,BASE_DATA!$G:$G,$Q$6,BASE_DATA!$A:$A,INDEX(PARAMS!$D$2:$D$5,MATCH($F$3,PARAMS!$C$2:$C$5,0))))/IF($C$3="Total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matchs)",SUMIFS(BASE_DATA!$R:$R,BASE_DATA!$G:$G,$Q$6),SUMIFS(BASE_DATA!$R:$R,BASE_DATA!$G:$G,$Q$6,BASE_DATA!$A:$A,INDEX(PARAMS!$D$2:$D$5,MATCH($F$3,PARAMS!$C$2:$C$5,0)))),0),IFERROR(IF($C$3="Total (tous matchs)",SUMIFS(BASE_DATA!$AK:$AK,BASE_DATA!$G:$G,$Q$6),SUMIFS(BASE_DATA!$AK:$AK,BASE_DATA!$G:$G,$Q$6,BASE_DATA!$A:$A,INDEX(PARAMS!$D$2:$D$5,MATCH($F$3,PARAMS!$C$2:$C$5,0))))/IF($C$3="Total (tous matchs)",SUMIFS(BASE_DATA!$R:$R,BASE_DATA!$G:$G,$Q$6),SUMIFS(BASE_DATA!$R:$R,BASE_DATA!$G:$G,$Q$6,BASE_DATA!$A:$A,INDEX(PARAMS!$D$2:$D$5,MATCH($F$3,PARAMS!$C$2:$C$5,0))))*40,0)))</f>
        <v>0</v>
      </c>
      <c r="AC6" s="58" t="n">
        <f aca="false">IF($C$3="Total (tous matchs)",SUMIFS(BASE_DATA!$R:$R,BASE_DATA!$G:$G,$Q$6),SUMIFS(BASE_DATA!$R:$R,BASE_DATA!$G:$G,$Q$6,BASE_DATA!$A:$A,INDEX(PARAMS!$D$2:$D$5,MATCH($F$3,PARAMS!$C$2:$C$5,0))))</f>
        <v>14.5</v>
      </c>
      <c r="AD6" s="59" t="n">
        <f aca="false">IF($C$3="Total (tous matchs)",COUNTIFS(BASE_DATA!$G:$G,$Q$6),COUNTIFS(BASE_DATA!$G:$G,$Q$6,BASE_DATA!$A:$A,INDEX(PARAMS!$D$2:$D$5,MATCH($F$3,PARAMS!$C$2:$C$5,0))))</f>
        <v>1</v>
      </c>
    </row>
    <row r="7" customFormat="false" ht="15" hidden="false" customHeight="true" outlineLevel="0" collapsed="false">
      <c r="B7" s="9" t="s">
        <v>253</v>
      </c>
      <c r="C7" s="9" t="s">
        <v>254</v>
      </c>
      <c r="E7" s="10" t="s">
        <v>253</v>
      </c>
      <c r="F7" s="10" t="s">
        <v>255</v>
      </c>
      <c r="H7" s="10" t="s">
        <v>253</v>
      </c>
      <c r="I7" s="10" t="s">
        <v>255</v>
      </c>
      <c r="K7" s="73"/>
      <c r="L7" s="73"/>
      <c r="Q7" s="56" t="s">
        <v>25</v>
      </c>
      <c r="R7" s="57" t="n">
        <f aca="false">IF($K$3="Stats brutes",IF($C$3="Total (tous matchs)",SUMIFS(BASE_DATA!$T:$T,BASE_DATA!$G:$G,$Q$7),SUMIFS(BASE_DATA!$T:$T,BASE_DATA!$G:$G,$Q$7,BASE_DATA!$A:$A,INDEX(PARAMS!$D$2:$D$5,MATCH($F$3,PARAMS!$C$2:$C$5,0)))),IF($K$3="Par minute jouée",IFERROR(IF($C$3="Total (tous matchs)",SUMIFS(BASE_DATA!$T:$T,BASE_DATA!$G:$G,$Q$7),SUMIFS(BASE_DATA!$T:$T,BASE_DATA!$G:$G,$Q$7,BASE_DATA!$A:$A,INDEX(PARAMS!$D$2:$D$5,MATCH($F$3,PARAMS!$C$2:$C$5,0))))/IF($C$3="Total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matchs)",SUMIFS(BASE_DATA!$T:$T,BASE_DATA!$G:$G,$Q$7),SUMIFS(BASE_DATA!$T:$T,BASE_DATA!$G:$G,$Q$7,BASE_DATA!$A:$A,INDEX(PARAMS!$D$2:$D$5,MATCH($F$3,PARAMS!$C$2:$C$5,0))))/IF($C$3="Total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0</v>
      </c>
      <c r="S7" s="57" t="n">
        <f aca="false">IF($K$3="Stats brutes",IF($C$3="Total (tous matchs)",SUMIFS(BASE_DATA!$U:$U,BASE_DATA!$G:$G,$Q$7),SUMIFS(BASE_DATA!$U:$U,BASE_DATA!$G:$G,$Q$7,BASE_DATA!$A:$A,INDEX(PARAMS!$D$2:$D$5,MATCH($F$3,PARAMS!$C$2:$C$5,0)))),IF($K$3="Par minute jouée",IFERROR(IF($C$3="Total (tous matchs)",SUMIFS(BASE_DATA!$U:$U,BASE_DATA!$G:$G,$Q$7),SUMIFS(BASE_DATA!$U:$U,BASE_DATA!$G:$G,$Q$7,BASE_DATA!$A:$A,INDEX(PARAMS!$D$2:$D$5,MATCH($F$3,PARAMS!$C$2:$C$5,0))))/IF($C$3="Total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matchs)",SUMIFS(BASE_DATA!$U:$U,BASE_DATA!$G:$G,$Q$7),SUMIFS(BASE_DATA!$U:$U,BASE_DATA!$G:$G,$Q$7,BASE_DATA!$A:$A,INDEX(PARAMS!$D$2:$D$5,MATCH($F$3,PARAMS!$C$2:$C$5,0))))/IF($C$3="Total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1</v>
      </c>
      <c r="T7" s="57" t="n">
        <f aca="false">IF($K$3="Stats brutes",IF($C$3="Total (tous matchs)",SUMIFS(BASE_DATA!$V:$V,BASE_DATA!$G:$G,$Q$7),SUMIFS(BASE_DATA!$V:$V,BASE_DATA!$G:$G,$Q$7,BASE_DATA!$A:$A,INDEX(PARAMS!$D$2:$D$5,MATCH($F$3,PARAMS!$C$2:$C$5,0)))),IF($K$3="Par minute jouée",IFERROR(IF($C$3="Total (tous matchs)",SUMIFS(BASE_DATA!$V:$V,BASE_DATA!$G:$G,$Q$7),SUMIFS(BASE_DATA!$V:$V,BASE_DATA!$G:$G,$Q$7,BASE_DATA!$A:$A,INDEX(PARAMS!$D$2:$D$5,MATCH($F$3,PARAMS!$C$2:$C$5,0))))/IF($C$3="Total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matchs)",SUMIFS(BASE_DATA!$V:$V,BASE_DATA!$G:$G,$Q$7),SUMIFS(BASE_DATA!$V:$V,BASE_DATA!$G:$G,$Q$7,BASE_DATA!$A:$A,INDEX(PARAMS!$D$2:$D$5,MATCH($F$3,PARAMS!$C$2:$C$5,0))))/IF($C$3="Total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9</v>
      </c>
      <c r="U7" s="57" t="n">
        <f aca="false">IF($K$3="Stats brutes",IF($C$3="Total (tous matchs)",SUMIFS(BASE_DATA!$W:$W,BASE_DATA!$G:$G,$Q$7),SUMIFS(BASE_DATA!$W:$W,BASE_DATA!$G:$G,$Q$7,BASE_DATA!$A:$A,INDEX(PARAMS!$D$2:$D$5,MATCH($F$3,PARAMS!$C$2:$C$5,0)))),IF($K$3="Par minute jouée",IFERROR(IF($C$3="Total (tous matchs)",SUMIFS(BASE_DATA!$W:$W,BASE_DATA!$G:$G,$Q$7),SUMIFS(BASE_DATA!$W:$W,BASE_DATA!$G:$G,$Q$7,BASE_DATA!$A:$A,INDEX(PARAMS!$D$2:$D$5,MATCH($F$3,PARAMS!$C$2:$C$5,0))))/IF($C$3="Total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matchs)",SUMIFS(BASE_DATA!$W:$W,BASE_DATA!$G:$G,$Q$7),SUMIFS(BASE_DATA!$W:$W,BASE_DATA!$G:$G,$Q$7,BASE_DATA!$A:$A,INDEX(PARAMS!$D$2:$D$5,MATCH($F$3,PARAMS!$C$2:$C$5,0))))/IF($C$3="Total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6</v>
      </c>
      <c r="V7" s="57" t="n">
        <f aca="false">IF($K$3="Stats brutes",IF($C$3="Total (tous matchs)",SUMIFS(BASE_DATA!$AN:$AN,BASE_DATA!$G:$G,$Q$7),SUMIFS(BASE_DATA!$AN:$AN,BASE_DATA!$G:$G,$Q$7,BASE_DATA!$A:$A,INDEX(PARAMS!$D$2:$D$5,MATCH($F$3,PARAMS!$C$2:$C$5,0)))),IF($K$3="Par minute jouée",IFERROR(IF($C$3="Total (tous matchs)",SUMIFS(BASE_DATA!$AN:$AN,BASE_DATA!$G:$G,$Q$7),SUMIFS(BASE_DATA!$AN:$AN,BASE_DATA!$G:$G,$Q$7,BASE_DATA!$A:$A,INDEX(PARAMS!$D$2:$D$5,MATCH($F$3,PARAMS!$C$2:$C$5,0))))/IF($C$3="Total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matchs)",SUMIFS(BASE_DATA!$AN:$AN,BASE_DATA!$G:$G,$Q$7),SUMIFS(BASE_DATA!$AN:$AN,BASE_DATA!$G:$G,$Q$7,BASE_DATA!$A:$A,INDEX(PARAMS!$D$2:$D$5,MATCH($F$3,PARAMS!$C$2:$C$5,0))))/IF($C$3="Total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3</v>
      </c>
      <c r="W7" s="57" t="n">
        <f aca="false">IF($K$3="Stats brutes",IF($C$3="Total (tous matchs)",SUMIFS(BASE_DATA!$AO:$AO,BASE_DATA!$G:$G,$Q$7),SUMIFS(BASE_DATA!$AO:$AO,BASE_DATA!$G:$G,$Q$7,BASE_DATA!$A:$A,INDEX(PARAMS!$D$2:$D$5,MATCH($F$3,PARAMS!$C$2:$C$5,0)))),IF($K$3="Par minute jouée",IFERROR(IF($C$3="Total (tous matchs)",SUMIFS(BASE_DATA!$AO:$AO,BASE_DATA!$G:$G,$Q$7),SUMIFS(BASE_DATA!$AO:$AO,BASE_DATA!$G:$G,$Q$7,BASE_DATA!$A:$A,INDEX(PARAMS!$D$2:$D$5,MATCH($F$3,PARAMS!$C$2:$C$5,0))))/IF($C$3="Total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matchs)",SUMIFS(BASE_DATA!$AO:$AO,BASE_DATA!$G:$G,$Q$7),SUMIFS(BASE_DATA!$AO:$AO,BASE_DATA!$G:$G,$Q$7,BASE_DATA!$A:$A,INDEX(PARAMS!$D$2:$D$5,MATCH($F$3,PARAMS!$C$2:$C$5,0))))/IF($C$3="Total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2</v>
      </c>
      <c r="X7" s="57" t="n">
        <f aca="false">IF($K$3="Stats brutes",IF($C$3="Total (tous matchs)",SUMIFS(BASE_DATA!$AA:$AA,BASE_DATA!$G:$G,$Q$7),SUMIFS(BASE_DATA!$AA:$AA,BASE_DATA!$G:$G,$Q$7,BASE_DATA!$A:$A,INDEX(PARAMS!$D$2:$D$5,MATCH($F$3,PARAMS!$C$2:$C$5,0)))),IF($K$3="Par minute jouée",IFERROR(IF($C$3="Total (tous matchs)",SUMIFS(BASE_DATA!$AA:$AA,BASE_DATA!$G:$G,$Q$7),SUMIFS(BASE_DATA!$AA:$AA,BASE_DATA!$G:$G,$Q$7,BASE_DATA!$A:$A,INDEX(PARAMS!$D$2:$D$5,MATCH($F$3,PARAMS!$C$2:$C$5,0))))/IF($C$3="Total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matchs)",SUMIFS(BASE_DATA!$AA:$AA,BASE_DATA!$G:$G,$Q$7),SUMIFS(BASE_DATA!$AA:$AA,BASE_DATA!$G:$G,$Q$7,BASE_DATA!$A:$A,INDEX(PARAMS!$D$2:$D$5,MATCH($F$3,PARAMS!$C$2:$C$5,0))))/IF($C$3="Total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16</v>
      </c>
      <c r="Y7" s="57" t="n">
        <f aca="false">IF($K$3="Stats brutes",IF($C$3="Total (tous matchs)",SUMIFS(BASE_DATA!$AH:$AH,BASE_DATA!$G:$G,$Q$7),SUMIFS(BASE_DATA!$AH:$AH,BASE_DATA!$G:$G,$Q$7,BASE_DATA!$A:$A,INDEX(PARAMS!$D$2:$D$5,MATCH($F$3,PARAMS!$C$2:$C$5,0)))),IF($K$3="Par minute jouée",IFERROR(IF($C$3="Total (tous matchs)",SUMIFS(BASE_DATA!$AH:$AH,BASE_DATA!$G:$G,$Q$7),SUMIFS(BASE_DATA!$AH:$AH,BASE_DATA!$G:$G,$Q$7,BASE_DATA!$A:$A,INDEX(PARAMS!$D$2:$D$5,MATCH($F$3,PARAMS!$C$2:$C$5,0))))/IF($C$3="Total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matchs)",SUMIFS(BASE_DATA!$AH:$AH,BASE_DATA!$G:$G,$Q$7),SUMIFS(BASE_DATA!$AH:$AH,BASE_DATA!$G:$G,$Q$7,BASE_DATA!$A:$A,INDEX(PARAMS!$D$2:$D$5,MATCH($F$3,PARAMS!$C$2:$C$5,0))))/IF($C$3="Total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1</v>
      </c>
      <c r="Z7" s="57" t="n">
        <f aca="false">IF($K$3="Stats brutes",IF($C$3="Total (tous matchs)",SUMIFS(BASE_DATA!$AI:$AI,BASE_DATA!$G:$G,$Q$7),SUMIFS(BASE_DATA!$AI:$AI,BASE_DATA!$G:$G,$Q$7,BASE_DATA!$A:$A,INDEX(PARAMS!$D$2:$D$5,MATCH($F$3,PARAMS!$C$2:$C$5,0)))),IF($K$3="Par minute jouée",IFERROR(IF($C$3="Total (tous matchs)",SUMIFS(BASE_DATA!$AI:$AI,BASE_DATA!$G:$G,$Q$7),SUMIFS(BASE_DATA!$AI:$AI,BASE_DATA!$G:$G,$Q$7,BASE_DATA!$A:$A,INDEX(PARAMS!$D$2:$D$5,MATCH($F$3,PARAMS!$C$2:$C$5,0))))/IF($C$3="Total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matchs)",SUMIFS(BASE_DATA!$AI:$AI,BASE_DATA!$G:$G,$Q$7),SUMIFS(BASE_DATA!$AI:$AI,BASE_DATA!$G:$G,$Q$7,BASE_DATA!$A:$A,INDEX(PARAMS!$D$2:$D$5,MATCH($F$3,PARAMS!$C$2:$C$5,0))))/IF($C$3="Total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2</v>
      </c>
      <c r="AA7" s="57" t="n">
        <f aca="false">IF($K$3="Stats brutes",IF($C$3="Total (tous matchs)",SUMIFS(BASE_DATA!$AJ:$AJ,BASE_DATA!$G:$G,$Q$7),SUMIFS(BASE_DATA!$AJ:$AJ,BASE_DATA!$G:$G,$Q$7,BASE_DATA!$A:$A,INDEX(PARAMS!$D$2:$D$5,MATCH($F$3,PARAMS!$C$2:$C$5,0)))),IF($K$3="Par minute jouée",IFERROR(IF($C$3="Total (tous matchs)",SUMIFS(BASE_DATA!$AJ:$AJ,BASE_DATA!$G:$G,$Q$7),SUMIFS(BASE_DATA!$AJ:$AJ,BASE_DATA!$G:$G,$Q$7,BASE_DATA!$A:$A,INDEX(PARAMS!$D$2:$D$5,MATCH($F$3,PARAMS!$C$2:$C$5,0))))/IF($C$3="Total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matchs)",SUMIFS(BASE_DATA!$AJ:$AJ,BASE_DATA!$G:$G,$Q$7),SUMIFS(BASE_DATA!$AJ:$AJ,BASE_DATA!$G:$G,$Q$7,BASE_DATA!$A:$A,INDEX(PARAMS!$D$2:$D$5,MATCH($F$3,PARAMS!$C$2:$C$5,0))))/IF($C$3="Total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3</v>
      </c>
      <c r="AB7" s="57" t="n">
        <f aca="false">IF($K$3="Stats brutes",IF($C$3="Total (tous matchs)",SUMIFS(BASE_DATA!$AK:$AK,BASE_DATA!$G:$G,$Q$7),SUMIFS(BASE_DATA!$AK:$AK,BASE_DATA!$G:$G,$Q$7,BASE_DATA!$A:$A,INDEX(PARAMS!$D$2:$D$5,MATCH($F$3,PARAMS!$C$2:$C$5,0)))),IF($K$3="Par minute jouée",IFERROR(IF($C$3="Total (tous matchs)",SUMIFS(BASE_DATA!$AK:$AK,BASE_DATA!$G:$G,$Q$7),SUMIFS(BASE_DATA!$AK:$AK,BASE_DATA!$G:$G,$Q$7,BASE_DATA!$A:$A,INDEX(PARAMS!$D$2:$D$5,MATCH($F$3,PARAMS!$C$2:$C$5,0))))/IF($C$3="Total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matchs)",SUMIFS(BASE_DATA!$R:$R,BASE_DATA!$G:$G,$Q$7),SUMIFS(BASE_DATA!$R:$R,BASE_DATA!$G:$G,$Q$7,BASE_DATA!$A:$A,INDEX(PARAMS!$D$2:$D$5,MATCH($F$3,PARAMS!$C$2:$C$5,0)))),0),IFERROR(IF($C$3="Total (tous matchs)",SUMIFS(BASE_DATA!$AK:$AK,BASE_DATA!$G:$G,$Q$7),SUMIFS(BASE_DATA!$AK:$AK,BASE_DATA!$G:$G,$Q$7,BASE_DATA!$A:$A,INDEX(PARAMS!$D$2:$D$5,MATCH($F$3,PARAMS!$C$2:$C$5,0))))/IF($C$3="Total (tous matchs)",SUMIFS(BASE_DATA!$R:$R,BASE_DATA!$G:$G,$Q$7),SUMIFS(BASE_DATA!$R:$R,BASE_DATA!$G:$G,$Q$7,BASE_DATA!$A:$A,INDEX(PARAMS!$D$2:$D$5,MATCH($F$3,PARAMS!$C$2:$C$5,0))))*40,0)))</f>
        <v>4</v>
      </c>
      <c r="AC7" s="58" t="n">
        <f aca="false">IF($C$3="Total (tous matchs)",SUMIFS(BASE_DATA!$R:$R,BASE_DATA!$G:$G,$Q$7),SUMIFS(BASE_DATA!$R:$R,BASE_DATA!$G:$G,$Q$7,BASE_DATA!$A:$A,INDEX(PARAMS!$D$2:$D$5,MATCH($F$3,PARAMS!$C$2:$C$5,0))))</f>
        <v>23</v>
      </c>
      <c r="AD7" s="59" t="n">
        <f aca="false">IF($C$3="Total (tous matchs)",COUNTIFS(BASE_DATA!$G:$G,$Q$7),COUNTIFS(BASE_DATA!$G:$G,$Q$7,BASE_DATA!$A:$A,INDEX(PARAMS!$D$2:$D$5,MATCH($F$3,PARAMS!$C$2:$C$5,0))))</f>
        <v>1</v>
      </c>
      <c r="AF7" s="9" t="s">
        <v>256</v>
      </c>
    </row>
    <row r="8" customFormat="false" ht="15" hidden="false" customHeight="true" outlineLevel="0" collapsed="false">
      <c r="B8" s="74" t="s">
        <v>18</v>
      </c>
      <c r="C8" s="75" t="n">
        <f aca="false">IFERROR(VLOOKUP($C$5,$Q$1:$AD$20,2,FALSE()),"-")</f>
        <v>1</v>
      </c>
      <c r="E8" s="74" t="s">
        <v>18</v>
      </c>
      <c r="F8" s="75" t="n">
        <f aca="false">IFERROR(VLOOKUP($F$5,$Q$1:$AD$20,2,FALSE()),"-")</f>
        <v>1</v>
      </c>
      <c r="H8" s="74" t="s">
        <v>18</v>
      </c>
      <c r="I8" s="75" t="n">
        <f aca="false">IFERROR(VLOOKUP($I$5,$Q$1:$AD$20,2,FALSE()),"-")</f>
        <v>1</v>
      </c>
      <c r="K8" s="73"/>
      <c r="L8" s="73"/>
      <c r="Q8" s="56" t="s">
        <v>118</v>
      </c>
      <c r="R8" s="57" t="n">
        <f aca="false">IF($K$3="Stats brutes",IF($C$3="Total (tous matchs)",SUMIFS(BASE_DATA!$T:$T,BASE_DATA!$G:$G,$Q$8),SUMIFS(BASE_DATA!$T:$T,BASE_DATA!$G:$G,$Q$8,BASE_DATA!$A:$A,INDEX(PARAMS!$D$2:$D$5,MATCH($F$3,PARAMS!$C$2:$C$5,0)))),IF($K$3="Par minute jouée",IFERROR(IF($C$3="Total (tous matchs)",SUMIFS(BASE_DATA!$T:$T,BASE_DATA!$G:$G,$Q$8),SUMIFS(BASE_DATA!$T:$T,BASE_DATA!$G:$G,$Q$8,BASE_DATA!$A:$A,INDEX(PARAMS!$D$2:$D$5,MATCH($F$3,PARAMS!$C$2:$C$5,0))))/IF($C$3="Total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matchs)",SUMIFS(BASE_DATA!$T:$T,BASE_DATA!$G:$G,$Q$8),SUMIFS(BASE_DATA!$T:$T,BASE_DATA!$G:$G,$Q$8,BASE_DATA!$A:$A,INDEX(PARAMS!$D$2:$D$5,MATCH($F$3,PARAMS!$C$2:$C$5,0))))/IF($C$3="Total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1</v>
      </c>
      <c r="S8" s="57" t="n">
        <f aca="false">IF($K$3="Stats brutes",IF($C$3="Total (tous matchs)",SUMIFS(BASE_DATA!$U:$U,BASE_DATA!$G:$G,$Q$8),SUMIFS(BASE_DATA!$U:$U,BASE_DATA!$G:$G,$Q$8,BASE_DATA!$A:$A,INDEX(PARAMS!$D$2:$D$5,MATCH($F$3,PARAMS!$C$2:$C$5,0)))),IF($K$3="Par minute jouée",IFERROR(IF($C$3="Total (tous matchs)",SUMIFS(BASE_DATA!$U:$U,BASE_DATA!$G:$G,$Q$8),SUMIFS(BASE_DATA!$U:$U,BASE_DATA!$G:$G,$Q$8,BASE_DATA!$A:$A,INDEX(PARAMS!$D$2:$D$5,MATCH($F$3,PARAMS!$C$2:$C$5,0))))/IF($C$3="Total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matchs)",SUMIFS(BASE_DATA!$U:$U,BASE_DATA!$G:$G,$Q$8),SUMIFS(BASE_DATA!$U:$U,BASE_DATA!$G:$G,$Q$8,BASE_DATA!$A:$A,INDEX(PARAMS!$D$2:$D$5,MATCH($F$3,PARAMS!$C$2:$C$5,0))))/IF($C$3="Total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1</v>
      </c>
      <c r="T8" s="57" t="n">
        <f aca="false">IF($K$3="Stats brutes",IF($C$3="Total (tous matchs)",SUMIFS(BASE_DATA!$V:$V,BASE_DATA!$G:$G,$Q$8),SUMIFS(BASE_DATA!$V:$V,BASE_DATA!$G:$G,$Q$8,BASE_DATA!$A:$A,INDEX(PARAMS!$D$2:$D$5,MATCH($F$3,PARAMS!$C$2:$C$5,0)))),IF($K$3="Par minute jouée",IFERROR(IF($C$3="Total (tous matchs)",SUMIFS(BASE_DATA!$V:$V,BASE_DATA!$G:$G,$Q$8),SUMIFS(BASE_DATA!$V:$V,BASE_DATA!$G:$G,$Q$8,BASE_DATA!$A:$A,INDEX(PARAMS!$D$2:$D$5,MATCH($F$3,PARAMS!$C$2:$C$5,0))))/IF($C$3="Total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matchs)",SUMIFS(BASE_DATA!$V:$V,BASE_DATA!$G:$G,$Q$8),SUMIFS(BASE_DATA!$V:$V,BASE_DATA!$G:$G,$Q$8,BASE_DATA!$A:$A,INDEX(PARAMS!$D$2:$D$5,MATCH($F$3,PARAMS!$C$2:$C$5,0))))/IF($C$3="Total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4</v>
      </c>
      <c r="U8" s="57" t="n">
        <f aca="false">IF($K$3="Stats brutes",IF($C$3="Total (tous matchs)",SUMIFS(BASE_DATA!$W:$W,BASE_DATA!$G:$G,$Q$8),SUMIFS(BASE_DATA!$W:$W,BASE_DATA!$G:$G,$Q$8,BASE_DATA!$A:$A,INDEX(PARAMS!$D$2:$D$5,MATCH($F$3,PARAMS!$C$2:$C$5,0)))),IF($K$3="Par minute jouée",IFERROR(IF($C$3="Total (tous matchs)",SUMIFS(BASE_DATA!$W:$W,BASE_DATA!$G:$G,$Q$8),SUMIFS(BASE_DATA!$W:$W,BASE_DATA!$G:$G,$Q$8,BASE_DATA!$A:$A,INDEX(PARAMS!$D$2:$D$5,MATCH($F$3,PARAMS!$C$2:$C$5,0))))/IF($C$3="Total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matchs)",SUMIFS(BASE_DATA!$W:$W,BASE_DATA!$G:$G,$Q$8),SUMIFS(BASE_DATA!$W:$W,BASE_DATA!$G:$G,$Q$8,BASE_DATA!$A:$A,INDEX(PARAMS!$D$2:$D$5,MATCH($F$3,PARAMS!$C$2:$C$5,0))))/IF($C$3="Total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2</v>
      </c>
      <c r="V8" s="57" t="n">
        <f aca="false">IF($K$3="Stats brutes",IF($C$3="Total (tous matchs)",SUMIFS(BASE_DATA!$AN:$AN,BASE_DATA!$G:$G,$Q$8),SUMIFS(BASE_DATA!$AN:$AN,BASE_DATA!$G:$G,$Q$8,BASE_DATA!$A:$A,INDEX(PARAMS!$D$2:$D$5,MATCH($F$3,PARAMS!$C$2:$C$5,0)))),IF($K$3="Par minute jouée",IFERROR(IF($C$3="Total (tous matchs)",SUMIFS(BASE_DATA!$AN:$AN,BASE_DATA!$G:$G,$Q$8),SUMIFS(BASE_DATA!$AN:$AN,BASE_DATA!$G:$G,$Q$8,BASE_DATA!$A:$A,INDEX(PARAMS!$D$2:$D$5,MATCH($F$3,PARAMS!$C$2:$C$5,0))))/IF($C$3="Total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matchs)",SUMIFS(BASE_DATA!$AN:$AN,BASE_DATA!$G:$G,$Q$8),SUMIFS(BASE_DATA!$AN:$AN,BASE_DATA!$G:$G,$Q$8,BASE_DATA!$A:$A,INDEX(PARAMS!$D$2:$D$5,MATCH($F$3,PARAMS!$C$2:$C$5,0))))/IF($C$3="Total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2</v>
      </c>
      <c r="W8" s="57" t="n">
        <f aca="false">IF($K$3="Stats brutes",IF($C$3="Total (tous matchs)",SUMIFS(BASE_DATA!$AO:$AO,BASE_DATA!$G:$G,$Q$8),SUMIFS(BASE_DATA!$AO:$AO,BASE_DATA!$G:$G,$Q$8,BASE_DATA!$A:$A,INDEX(PARAMS!$D$2:$D$5,MATCH($F$3,PARAMS!$C$2:$C$5,0)))),IF($K$3="Par minute jouée",IFERROR(IF($C$3="Total (tous matchs)",SUMIFS(BASE_DATA!$AO:$AO,BASE_DATA!$G:$G,$Q$8),SUMIFS(BASE_DATA!$AO:$AO,BASE_DATA!$G:$G,$Q$8,BASE_DATA!$A:$A,INDEX(PARAMS!$D$2:$D$5,MATCH($F$3,PARAMS!$C$2:$C$5,0))))/IF($C$3="Total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matchs)",SUMIFS(BASE_DATA!$AO:$AO,BASE_DATA!$G:$G,$Q$8),SUMIFS(BASE_DATA!$AO:$AO,BASE_DATA!$G:$G,$Q$8,BASE_DATA!$A:$A,INDEX(PARAMS!$D$2:$D$5,MATCH($F$3,PARAMS!$C$2:$C$5,0))))/IF($C$3="Total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1</v>
      </c>
      <c r="X8" s="57" t="n">
        <f aca="false">IF($K$3="Stats brutes",IF($C$3="Total (tous matchs)",SUMIFS(BASE_DATA!$AA:$AA,BASE_DATA!$G:$G,$Q$8),SUMIFS(BASE_DATA!$AA:$AA,BASE_DATA!$G:$G,$Q$8,BASE_DATA!$A:$A,INDEX(PARAMS!$D$2:$D$5,MATCH($F$3,PARAMS!$C$2:$C$5,0)))),IF($K$3="Par minute jouée",IFERROR(IF($C$3="Total (tous matchs)",SUMIFS(BASE_DATA!$AA:$AA,BASE_DATA!$G:$G,$Q$8),SUMIFS(BASE_DATA!$AA:$AA,BASE_DATA!$G:$G,$Q$8,BASE_DATA!$A:$A,INDEX(PARAMS!$D$2:$D$5,MATCH($F$3,PARAMS!$C$2:$C$5,0))))/IF($C$3="Total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matchs)",SUMIFS(BASE_DATA!$AA:$AA,BASE_DATA!$G:$G,$Q$8),SUMIFS(BASE_DATA!$AA:$AA,BASE_DATA!$G:$G,$Q$8,BASE_DATA!$A:$A,INDEX(PARAMS!$D$2:$D$5,MATCH($F$3,PARAMS!$C$2:$C$5,0))))/IF($C$3="Total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6</v>
      </c>
      <c r="Y8" s="57" t="n">
        <f aca="false">IF($K$3="Stats brutes",IF($C$3="Total (tous matchs)",SUMIFS(BASE_DATA!$AH:$AH,BASE_DATA!$G:$G,$Q$8),SUMIFS(BASE_DATA!$AH:$AH,BASE_DATA!$G:$G,$Q$8,BASE_DATA!$A:$A,INDEX(PARAMS!$D$2:$D$5,MATCH($F$3,PARAMS!$C$2:$C$5,0)))),IF($K$3="Par minute jouée",IFERROR(IF($C$3="Total (tous matchs)",SUMIFS(BASE_DATA!$AH:$AH,BASE_DATA!$G:$G,$Q$8),SUMIFS(BASE_DATA!$AH:$AH,BASE_DATA!$G:$G,$Q$8,BASE_DATA!$A:$A,INDEX(PARAMS!$D$2:$D$5,MATCH($F$3,PARAMS!$C$2:$C$5,0))))/IF($C$3="Total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matchs)",SUMIFS(BASE_DATA!$AH:$AH,BASE_DATA!$G:$G,$Q$8),SUMIFS(BASE_DATA!$AH:$AH,BASE_DATA!$G:$G,$Q$8,BASE_DATA!$A:$A,INDEX(PARAMS!$D$2:$D$5,MATCH($F$3,PARAMS!$C$2:$C$5,0))))/IF($C$3="Total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1</v>
      </c>
      <c r="Z8" s="57" t="n">
        <f aca="false">IF($K$3="Stats brutes",IF($C$3="Total (tous matchs)",SUMIFS(BASE_DATA!$AI:$AI,BASE_DATA!$G:$G,$Q$8),SUMIFS(BASE_DATA!$AI:$AI,BASE_DATA!$G:$G,$Q$8,BASE_DATA!$A:$A,INDEX(PARAMS!$D$2:$D$5,MATCH($F$3,PARAMS!$C$2:$C$5,0)))),IF($K$3="Par minute jouée",IFERROR(IF($C$3="Total (tous matchs)",SUMIFS(BASE_DATA!$AI:$AI,BASE_DATA!$G:$G,$Q$8),SUMIFS(BASE_DATA!$AI:$AI,BASE_DATA!$G:$G,$Q$8,BASE_DATA!$A:$A,INDEX(PARAMS!$D$2:$D$5,MATCH($F$3,PARAMS!$C$2:$C$5,0))))/IF($C$3="Total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matchs)",SUMIFS(BASE_DATA!$AI:$AI,BASE_DATA!$G:$G,$Q$8),SUMIFS(BASE_DATA!$AI:$AI,BASE_DATA!$G:$G,$Q$8,BASE_DATA!$A:$A,INDEX(PARAMS!$D$2:$D$5,MATCH($F$3,PARAMS!$C$2:$C$5,0))))/IF($C$3="Total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3</v>
      </c>
      <c r="AA8" s="57" t="n">
        <f aca="false">IF($K$3="Stats brutes",IF($C$3="Total (tous matchs)",SUMIFS(BASE_DATA!$AJ:$AJ,BASE_DATA!$G:$G,$Q$8),SUMIFS(BASE_DATA!$AJ:$AJ,BASE_DATA!$G:$G,$Q$8,BASE_DATA!$A:$A,INDEX(PARAMS!$D$2:$D$5,MATCH($F$3,PARAMS!$C$2:$C$5,0)))),IF($K$3="Par minute jouée",IFERROR(IF($C$3="Total (tous matchs)",SUMIFS(BASE_DATA!$AJ:$AJ,BASE_DATA!$G:$G,$Q$8),SUMIFS(BASE_DATA!$AJ:$AJ,BASE_DATA!$G:$G,$Q$8,BASE_DATA!$A:$A,INDEX(PARAMS!$D$2:$D$5,MATCH($F$3,PARAMS!$C$2:$C$5,0))))/IF($C$3="Total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matchs)",SUMIFS(BASE_DATA!$AJ:$AJ,BASE_DATA!$G:$G,$Q$8),SUMIFS(BASE_DATA!$AJ:$AJ,BASE_DATA!$G:$G,$Q$8,BASE_DATA!$A:$A,INDEX(PARAMS!$D$2:$D$5,MATCH($F$3,PARAMS!$C$2:$C$5,0))))/IF($C$3="Total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1</v>
      </c>
      <c r="AB8" s="57" t="n">
        <f aca="false">IF($K$3="Stats brutes",IF($C$3="Total (tous matchs)",SUMIFS(BASE_DATA!$AK:$AK,BASE_DATA!$G:$G,$Q$8),SUMIFS(BASE_DATA!$AK:$AK,BASE_DATA!$G:$G,$Q$8,BASE_DATA!$A:$A,INDEX(PARAMS!$D$2:$D$5,MATCH($F$3,PARAMS!$C$2:$C$5,0)))),IF($K$3="Par minute jouée",IFERROR(IF($C$3="Total (tous matchs)",SUMIFS(BASE_DATA!$AK:$AK,BASE_DATA!$G:$G,$Q$8),SUMIFS(BASE_DATA!$AK:$AK,BASE_DATA!$G:$G,$Q$8,BASE_DATA!$A:$A,INDEX(PARAMS!$D$2:$D$5,MATCH($F$3,PARAMS!$C$2:$C$5,0))))/IF($C$3="Total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matchs)",SUMIFS(BASE_DATA!$R:$R,BASE_DATA!$G:$G,$Q$8),SUMIFS(BASE_DATA!$R:$R,BASE_DATA!$G:$G,$Q$8,BASE_DATA!$A:$A,INDEX(PARAMS!$D$2:$D$5,MATCH($F$3,PARAMS!$C$2:$C$5,0)))),0),IFERROR(IF($C$3="Total (tous matchs)",SUMIFS(BASE_DATA!$AK:$AK,BASE_DATA!$G:$G,$Q$8),SUMIFS(BASE_DATA!$AK:$AK,BASE_DATA!$G:$G,$Q$8,BASE_DATA!$A:$A,INDEX(PARAMS!$D$2:$D$5,MATCH($F$3,PARAMS!$C$2:$C$5,0))))/IF($C$3="Total (tous matchs)",SUMIFS(BASE_DATA!$R:$R,BASE_DATA!$G:$G,$Q$8),SUMIFS(BASE_DATA!$R:$R,BASE_DATA!$G:$G,$Q$8,BASE_DATA!$A:$A,INDEX(PARAMS!$D$2:$D$5,MATCH($F$3,PARAMS!$C$2:$C$5,0))))*40,0)))</f>
        <v>2</v>
      </c>
      <c r="AC8" s="58" t="n">
        <f aca="false">IF($C$3="Total (tous matchs)",SUMIFS(BASE_DATA!$R:$R,BASE_DATA!$G:$G,$Q$8),SUMIFS(BASE_DATA!$R:$R,BASE_DATA!$G:$G,$Q$8,BASE_DATA!$A:$A,INDEX(PARAMS!$D$2:$D$5,MATCH($F$3,PARAMS!$C$2:$C$5,0))))</f>
        <v>16</v>
      </c>
      <c r="AD8" s="59" t="n">
        <f aca="false">IF($C$3="Total (tous matchs)",COUNTIFS(BASE_DATA!$G:$G,$Q$8),COUNTIFS(BASE_DATA!$G:$G,$Q$8,BASE_DATA!$A:$A,INDEX(PARAMS!$D$2:$D$5,MATCH($F$3,PARAMS!$C$2:$C$5,0))))</f>
        <v>1</v>
      </c>
      <c r="AF8" s="13" t="n">
        <f aca="false">IFERROR(C8-F8,"-")</f>
        <v>0</v>
      </c>
    </row>
    <row r="9" customFormat="false" ht="15" hidden="false" customHeight="true" outlineLevel="0" collapsed="false">
      <c r="B9" s="76" t="s">
        <v>257</v>
      </c>
      <c r="C9" s="77" t="n">
        <f aca="false">IFERROR(VLOOKUP($C$5,$Q$1:$AD$20,3,FALSE()),"-")</f>
        <v>1</v>
      </c>
      <c r="E9" s="76" t="s">
        <v>257</v>
      </c>
      <c r="F9" s="77" t="n">
        <f aca="false">IFERROR(VLOOKUP($F$5,$Q$1:$AD$20,3,FALSE()),"-")</f>
        <v>0</v>
      </c>
      <c r="H9" s="76" t="s">
        <v>257</v>
      </c>
      <c r="I9" s="75" t="n">
        <f aca="false">IFERROR(VLOOKUP($I$5,$Q$1:$AD$20,3,FALSE()),"-")</f>
        <v>0</v>
      </c>
      <c r="K9" s="73"/>
      <c r="L9" s="73"/>
      <c r="Q9" s="56" t="s">
        <v>34</v>
      </c>
      <c r="R9" s="57" t="n">
        <f aca="false">IF($K$3="Stats brutes",IF($C$3="Total (tous matchs)",SUMIFS(BASE_DATA!$T:$T,BASE_DATA!$G:$G,$Q$9),SUMIFS(BASE_DATA!$T:$T,BASE_DATA!$G:$G,$Q$9,BASE_DATA!$A:$A,INDEX(PARAMS!$D$2:$D$5,MATCH($F$3,PARAMS!$C$2:$C$5,0)))),IF($K$3="Par minute jouée",IFERROR(IF($C$3="Total (tous matchs)",SUMIFS(BASE_DATA!$T:$T,BASE_DATA!$G:$G,$Q$9),SUMIFS(BASE_DATA!$T:$T,BASE_DATA!$G:$G,$Q$9,BASE_DATA!$A:$A,INDEX(PARAMS!$D$2:$D$5,MATCH($F$3,PARAMS!$C$2:$C$5,0))))/IF($C$3="Total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matchs)",SUMIFS(BASE_DATA!$T:$T,BASE_DATA!$G:$G,$Q$9),SUMIFS(BASE_DATA!$T:$T,BASE_DATA!$G:$G,$Q$9,BASE_DATA!$A:$A,INDEX(PARAMS!$D$2:$D$5,MATCH($F$3,PARAMS!$C$2:$C$5,0))))/IF($C$3="Total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S9" s="57" t="n">
        <f aca="false">IF($K$3="Stats brutes",IF($C$3="Total (tous matchs)",SUMIFS(BASE_DATA!$U:$U,BASE_DATA!$G:$G,$Q$9),SUMIFS(BASE_DATA!$U:$U,BASE_DATA!$G:$G,$Q$9,BASE_DATA!$A:$A,INDEX(PARAMS!$D$2:$D$5,MATCH($F$3,PARAMS!$C$2:$C$5,0)))),IF($K$3="Par minute jouée",IFERROR(IF($C$3="Total (tous matchs)",SUMIFS(BASE_DATA!$U:$U,BASE_DATA!$G:$G,$Q$9),SUMIFS(BASE_DATA!$U:$U,BASE_DATA!$G:$G,$Q$9,BASE_DATA!$A:$A,INDEX(PARAMS!$D$2:$D$5,MATCH($F$3,PARAMS!$C$2:$C$5,0))))/IF($C$3="Total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matchs)",SUMIFS(BASE_DATA!$U:$U,BASE_DATA!$G:$G,$Q$9),SUMIFS(BASE_DATA!$U:$U,BASE_DATA!$G:$G,$Q$9,BASE_DATA!$A:$A,INDEX(PARAMS!$D$2:$D$5,MATCH($F$3,PARAMS!$C$2:$C$5,0))))/IF($C$3="Total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T9" s="57" t="n">
        <f aca="false">IF($K$3="Stats brutes",IF($C$3="Total (tous matchs)",SUMIFS(BASE_DATA!$V:$V,BASE_DATA!$G:$G,$Q$9),SUMIFS(BASE_DATA!$V:$V,BASE_DATA!$G:$G,$Q$9,BASE_DATA!$A:$A,INDEX(PARAMS!$D$2:$D$5,MATCH($F$3,PARAMS!$C$2:$C$5,0)))),IF($K$3="Par minute jouée",IFERROR(IF($C$3="Total (tous matchs)",SUMIFS(BASE_DATA!$V:$V,BASE_DATA!$G:$G,$Q$9),SUMIFS(BASE_DATA!$V:$V,BASE_DATA!$G:$G,$Q$9,BASE_DATA!$A:$A,INDEX(PARAMS!$D$2:$D$5,MATCH($F$3,PARAMS!$C$2:$C$5,0))))/IF($C$3="Total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matchs)",SUMIFS(BASE_DATA!$V:$V,BASE_DATA!$G:$G,$Q$9),SUMIFS(BASE_DATA!$V:$V,BASE_DATA!$G:$G,$Q$9,BASE_DATA!$A:$A,INDEX(PARAMS!$D$2:$D$5,MATCH($F$3,PARAMS!$C$2:$C$5,0))))/IF($C$3="Total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U9" s="57" t="n">
        <f aca="false">IF($K$3="Stats brutes",IF($C$3="Total (tous matchs)",SUMIFS(BASE_DATA!$W:$W,BASE_DATA!$G:$G,$Q$9),SUMIFS(BASE_DATA!$W:$W,BASE_DATA!$G:$G,$Q$9,BASE_DATA!$A:$A,INDEX(PARAMS!$D$2:$D$5,MATCH($F$3,PARAMS!$C$2:$C$5,0)))),IF($K$3="Par minute jouée",IFERROR(IF($C$3="Total (tous matchs)",SUMIFS(BASE_DATA!$W:$W,BASE_DATA!$G:$G,$Q$9),SUMIFS(BASE_DATA!$W:$W,BASE_DATA!$G:$G,$Q$9,BASE_DATA!$A:$A,INDEX(PARAMS!$D$2:$D$5,MATCH($F$3,PARAMS!$C$2:$C$5,0))))/IF($C$3="Total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matchs)",SUMIFS(BASE_DATA!$W:$W,BASE_DATA!$G:$G,$Q$9),SUMIFS(BASE_DATA!$W:$W,BASE_DATA!$G:$G,$Q$9,BASE_DATA!$A:$A,INDEX(PARAMS!$D$2:$D$5,MATCH($F$3,PARAMS!$C$2:$C$5,0))))/IF($C$3="Total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V9" s="57" t="n">
        <f aca="false">IF($K$3="Stats brutes",IF($C$3="Total (tous matchs)",SUMIFS(BASE_DATA!$AN:$AN,BASE_DATA!$G:$G,$Q$9),SUMIFS(BASE_DATA!$AN:$AN,BASE_DATA!$G:$G,$Q$9,BASE_DATA!$A:$A,INDEX(PARAMS!$D$2:$D$5,MATCH($F$3,PARAMS!$C$2:$C$5,0)))),IF($K$3="Par minute jouée",IFERROR(IF($C$3="Total (tous matchs)",SUMIFS(BASE_DATA!$AN:$AN,BASE_DATA!$G:$G,$Q$9),SUMIFS(BASE_DATA!$AN:$AN,BASE_DATA!$G:$G,$Q$9,BASE_DATA!$A:$A,INDEX(PARAMS!$D$2:$D$5,MATCH($F$3,PARAMS!$C$2:$C$5,0))))/IF($C$3="Total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matchs)",SUMIFS(BASE_DATA!$AN:$AN,BASE_DATA!$G:$G,$Q$9),SUMIFS(BASE_DATA!$AN:$AN,BASE_DATA!$G:$G,$Q$9,BASE_DATA!$A:$A,INDEX(PARAMS!$D$2:$D$5,MATCH($F$3,PARAMS!$C$2:$C$5,0))))/IF($C$3="Total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W9" s="57" t="n">
        <f aca="false">IF($K$3="Stats brutes",IF($C$3="Total (tous matchs)",SUMIFS(BASE_DATA!$AO:$AO,BASE_DATA!$G:$G,$Q$9),SUMIFS(BASE_DATA!$AO:$AO,BASE_DATA!$G:$G,$Q$9,BASE_DATA!$A:$A,INDEX(PARAMS!$D$2:$D$5,MATCH($F$3,PARAMS!$C$2:$C$5,0)))),IF($K$3="Par minute jouée",IFERROR(IF($C$3="Total (tous matchs)",SUMIFS(BASE_DATA!$AO:$AO,BASE_DATA!$G:$G,$Q$9),SUMIFS(BASE_DATA!$AO:$AO,BASE_DATA!$G:$G,$Q$9,BASE_DATA!$A:$A,INDEX(PARAMS!$D$2:$D$5,MATCH($F$3,PARAMS!$C$2:$C$5,0))))/IF($C$3="Total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matchs)",SUMIFS(BASE_DATA!$AO:$AO,BASE_DATA!$G:$G,$Q$9),SUMIFS(BASE_DATA!$AO:$AO,BASE_DATA!$G:$G,$Q$9,BASE_DATA!$A:$A,INDEX(PARAMS!$D$2:$D$5,MATCH($F$3,PARAMS!$C$2:$C$5,0))))/IF($C$3="Total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X9" s="57" t="n">
        <f aca="false">IF($K$3="Stats brutes",IF($C$3="Total (tous matchs)",SUMIFS(BASE_DATA!$AA:$AA,BASE_DATA!$G:$G,$Q$9),SUMIFS(BASE_DATA!$AA:$AA,BASE_DATA!$G:$G,$Q$9,BASE_DATA!$A:$A,INDEX(PARAMS!$D$2:$D$5,MATCH($F$3,PARAMS!$C$2:$C$5,0)))),IF($K$3="Par minute jouée",IFERROR(IF($C$3="Total (tous matchs)",SUMIFS(BASE_DATA!$AA:$AA,BASE_DATA!$G:$G,$Q$9),SUMIFS(BASE_DATA!$AA:$AA,BASE_DATA!$G:$G,$Q$9,BASE_DATA!$A:$A,INDEX(PARAMS!$D$2:$D$5,MATCH($F$3,PARAMS!$C$2:$C$5,0))))/IF($C$3="Total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matchs)",SUMIFS(BASE_DATA!$AA:$AA,BASE_DATA!$G:$G,$Q$9),SUMIFS(BASE_DATA!$AA:$AA,BASE_DATA!$G:$G,$Q$9,BASE_DATA!$A:$A,INDEX(PARAMS!$D$2:$D$5,MATCH($F$3,PARAMS!$C$2:$C$5,0))))/IF($C$3="Total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Y9" s="57" t="n">
        <f aca="false">IF($K$3="Stats brutes",IF($C$3="Total (tous matchs)",SUMIFS(BASE_DATA!$AH:$AH,BASE_DATA!$G:$G,$Q$9),SUMIFS(BASE_DATA!$AH:$AH,BASE_DATA!$G:$G,$Q$9,BASE_DATA!$A:$A,INDEX(PARAMS!$D$2:$D$5,MATCH($F$3,PARAMS!$C$2:$C$5,0)))),IF($K$3="Par minute jouée",IFERROR(IF($C$3="Total (tous matchs)",SUMIFS(BASE_DATA!$AH:$AH,BASE_DATA!$G:$G,$Q$9),SUMIFS(BASE_DATA!$AH:$AH,BASE_DATA!$G:$G,$Q$9,BASE_DATA!$A:$A,INDEX(PARAMS!$D$2:$D$5,MATCH($F$3,PARAMS!$C$2:$C$5,0))))/IF($C$3="Total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matchs)",SUMIFS(BASE_DATA!$AH:$AH,BASE_DATA!$G:$G,$Q$9),SUMIFS(BASE_DATA!$AH:$AH,BASE_DATA!$G:$G,$Q$9,BASE_DATA!$A:$A,INDEX(PARAMS!$D$2:$D$5,MATCH($F$3,PARAMS!$C$2:$C$5,0))))/IF($C$3="Total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Z9" s="57" t="n">
        <f aca="false">IF($K$3="Stats brutes",IF($C$3="Total (tous matchs)",SUMIFS(BASE_DATA!$AI:$AI,BASE_DATA!$G:$G,$Q$9),SUMIFS(BASE_DATA!$AI:$AI,BASE_DATA!$G:$G,$Q$9,BASE_DATA!$A:$A,INDEX(PARAMS!$D$2:$D$5,MATCH($F$3,PARAMS!$C$2:$C$5,0)))),IF($K$3="Par minute jouée",IFERROR(IF($C$3="Total (tous matchs)",SUMIFS(BASE_DATA!$AI:$AI,BASE_DATA!$G:$G,$Q$9),SUMIFS(BASE_DATA!$AI:$AI,BASE_DATA!$G:$G,$Q$9,BASE_DATA!$A:$A,INDEX(PARAMS!$D$2:$D$5,MATCH($F$3,PARAMS!$C$2:$C$5,0))))/IF($C$3="Total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matchs)",SUMIFS(BASE_DATA!$AI:$AI,BASE_DATA!$G:$G,$Q$9),SUMIFS(BASE_DATA!$AI:$AI,BASE_DATA!$G:$G,$Q$9,BASE_DATA!$A:$A,INDEX(PARAMS!$D$2:$D$5,MATCH($F$3,PARAMS!$C$2:$C$5,0))))/IF($C$3="Total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AA9" s="57" t="n">
        <f aca="false">IF($K$3="Stats brutes",IF($C$3="Total (tous matchs)",SUMIFS(BASE_DATA!$AJ:$AJ,BASE_DATA!$G:$G,$Q$9),SUMIFS(BASE_DATA!$AJ:$AJ,BASE_DATA!$G:$G,$Q$9,BASE_DATA!$A:$A,INDEX(PARAMS!$D$2:$D$5,MATCH($F$3,PARAMS!$C$2:$C$5,0)))),IF($K$3="Par minute jouée",IFERROR(IF($C$3="Total (tous matchs)",SUMIFS(BASE_DATA!$AJ:$AJ,BASE_DATA!$G:$G,$Q$9),SUMIFS(BASE_DATA!$AJ:$AJ,BASE_DATA!$G:$G,$Q$9,BASE_DATA!$A:$A,INDEX(PARAMS!$D$2:$D$5,MATCH($F$3,PARAMS!$C$2:$C$5,0))))/IF($C$3="Total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matchs)",SUMIFS(BASE_DATA!$AJ:$AJ,BASE_DATA!$G:$G,$Q$9),SUMIFS(BASE_DATA!$AJ:$AJ,BASE_DATA!$G:$G,$Q$9,BASE_DATA!$A:$A,INDEX(PARAMS!$D$2:$D$5,MATCH($F$3,PARAMS!$C$2:$C$5,0))))/IF($C$3="Total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AB9" s="57" t="n">
        <f aca="false">IF($K$3="Stats brutes",IF($C$3="Total (tous matchs)",SUMIFS(BASE_DATA!$AK:$AK,BASE_DATA!$G:$G,$Q$9),SUMIFS(BASE_DATA!$AK:$AK,BASE_DATA!$G:$G,$Q$9,BASE_DATA!$A:$A,INDEX(PARAMS!$D$2:$D$5,MATCH($F$3,PARAMS!$C$2:$C$5,0)))),IF($K$3="Par minute jouée",IFERROR(IF($C$3="Total (tous matchs)",SUMIFS(BASE_DATA!$AK:$AK,BASE_DATA!$G:$G,$Q$9),SUMIFS(BASE_DATA!$AK:$AK,BASE_DATA!$G:$G,$Q$9,BASE_DATA!$A:$A,INDEX(PARAMS!$D$2:$D$5,MATCH($F$3,PARAMS!$C$2:$C$5,0))))/IF($C$3="Total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matchs)",SUMIFS(BASE_DATA!$R:$R,BASE_DATA!$G:$G,$Q$9),SUMIFS(BASE_DATA!$R:$R,BASE_DATA!$G:$G,$Q$9,BASE_DATA!$A:$A,INDEX(PARAMS!$D$2:$D$5,MATCH($F$3,PARAMS!$C$2:$C$5,0)))),0),IFERROR(IF($C$3="Total (tous matchs)",SUMIFS(BASE_DATA!$AK:$AK,BASE_DATA!$G:$G,$Q$9),SUMIFS(BASE_DATA!$AK:$AK,BASE_DATA!$G:$G,$Q$9,BASE_DATA!$A:$A,INDEX(PARAMS!$D$2:$D$5,MATCH($F$3,PARAMS!$C$2:$C$5,0))))/IF($C$3="Total (tous matchs)",SUMIFS(BASE_DATA!$R:$R,BASE_DATA!$G:$G,$Q$9),SUMIFS(BASE_DATA!$R:$R,BASE_DATA!$G:$G,$Q$9,BASE_DATA!$A:$A,INDEX(PARAMS!$D$2:$D$5,MATCH($F$3,PARAMS!$C$2:$C$5,0))))*40,0)))</f>
        <v>0</v>
      </c>
      <c r="AC9" s="58" t="n">
        <f aca="false">IF($C$3="Total (tous matchs)",SUMIFS(BASE_DATA!$R:$R,BASE_DATA!$G:$G,$Q$9),SUMIFS(BASE_DATA!$R:$R,BASE_DATA!$G:$G,$Q$9,BASE_DATA!$A:$A,INDEX(PARAMS!$D$2:$D$5,MATCH($F$3,PARAMS!$C$2:$C$5,0))))</f>
        <v>0</v>
      </c>
      <c r="AD9" s="59" t="n">
        <f aca="false">IF($C$3="Total (tous matchs)",COUNTIFS(BASE_DATA!$G:$G,$Q$9),COUNTIFS(BASE_DATA!$G:$G,$Q$9,BASE_DATA!$A:$A,INDEX(PARAMS!$D$2:$D$5,MATCH($F$3,PARAMS!$C$2:$C$5,0))))</f>
        <v>0</v>
      </c>
      <c r="AF9" s="15" t="n">
        <f aca="false">IFERROR(C9-F9,"-")</f>
        <v>1</v>
      </c>
    </row>
    <row r="10" customFormat="false" ht="15" hidden="false" customHeight="true" outlineLevel="0" collapsed="false">
      <c r="B10" s="74" t="s">
        <v>37</v>
      </c>
      <c r="C10" s="75" t="n">
        <f aca="false">IFERROR(VLOOKUP($C$5,$Q$1:$AD$20,4,FALSE()),"-")</f>
        <v>1</v>
      </c>
      <c r="E10" s="74" t="s">
        <v>37</v>
      </c>
      <c r="F10" s="75" t="n">
        <f aca="false">IFERROR(VLOOKUP($F$5,$Q$1:$AD$20,4,FALSE()),"-")</f>
        <v>4</v>
      </c>
      <c r="H10" s="74" t="s">
        <v>37</v>
      </c>
      <c r="I10" s="75" t="n">
        <f aca="false">IFERROR(VLOOKUP($I$5,$Q$1:$AD$20,4,FALSE()),"-")</f>
        <v>7</v>
      </c>
      <c r="K10" s="73"/>
      <c r="L10" s="73"/>
      <c r="Q10" s="56" t="s">
        <v>127</v>
      </c>
      <c r="R10" s="57" t="n">
        <f aca="false">IF($K$3="Stats brutes",IF($C$3="Total (tous matchs)",SUMIFS(BASE_DATA!$T:$T,BASE_DATA!$G:$G,$Q$10),SUMIFS(BASE_DATA!$T:$T,BASE_DATA!$G:$G,$Q$10,BASE_DATA!$A:$A,INDEX(PARAMS!$D$2:$D$5,MATCH($F$3,PARAMS!$C$2:$C$5,0)))),IF($K$3="Par minute jouée",IFERROR(IF($C$3="Total (tous matchs)",SUMIFS(BASE_DATA!$T:$T,BASE_DATA!$G:$G,$Q$10),SUMIFS(BASE_DATA!$T:$T,BASE_DATA!$G:$G,$Q$10,BASE_DATA!$A:$A,INDEX(PARAMS!$D$2:$D$5,MATCH($F$3,PARAMS!$C$2:$C$5,0))))/IF($C$3="Total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matchs)",SUMIFS(BASE_DATA!$T:$T,BASE_DATA!$G:$G,$Q$10),SUMIFS(BASE_DATA!$T:$T,BASE_DATA!$G:$G,$Q$10,BASE_DATA!$A:$A,INDEX(PARAMS!$D$2:$D$5,MATCH($F$3,PARAMS!$C$2:$C$5,0))))/IF($C$3="Total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S10" s="57" t="n">
        <f aca="false">IF($K$3="Stats brutes",IF($C$3="Total (tous matchs)",SUMIFS(BASE_DATA!$U:$U,BASE_DATA!$G:$G,$Q$10),SUMIFS(BASE_DATA!$U:$U,BASE_DATA!$G:$G,$Q$10,BASE_DATA!$A:$A,INDEX(PARAMS!$D$2:$D$5,MATCH($F$3,PARAMS!$C$2:$C$5,0)))),IF($K$3="Par minute jouée",IFERROR(IF($C$3="Total (tous matchs)",SUMIFS(BASE_DATA!$U:$U,BASE_DATA!$G:$G,$Q$10),SUMIFS(BASE_DATA!$U:$U,BASE_DATA!$G:$G,$Q$10,BASE_DATA!$A:$A,INDEX(PARAMS!$D$2:$D$5,MATCH($F$3,PARAMS!$C$2:$C$5,0))))/IF($C$3="Total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matchs)",SUMIFS(BASE_DATA!$U:$U,BASE_DATA!$G:$G,$Q$10),SUMIFS(BASE_DATA!$U:$U,BASE_DATA!$G:$G,$Q$10,BASE_DATA!$A:$A,INDEX(PARAMS!$D$2:$D$5,MATCH($F$3,PARAMS!$C$2:$C$5,0))))/IF($C$3="Total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T10" s="57" t="n">
        <f aca="false">IF($K$3="Stats brutes",IF($C$3="Total (tous matchs)",SUMIFS(BASE_DATA!$V:$V,BASE_DATA!$G:$G,$Q$10),SUMIFS(BASE_DATA!$V:$V,BASE_DATA!$G:$G,$Q$10,BASE_DATA!$A:$A,INDEX(PARAMS!$D$2:$D$5,MATCH($F$3,PARAMS!$C$2:$C$5,0)))),IF($K$3="Par minute jouée",IFERROR(IF($C$3="Total (tous matchs)",SUMIFS(BASE_DATA!$V:$V,BASE_DATA!$G:$G,$Q$10),SUMIFS(BASE_DATA!$V:$V,BASE_DATA!$G:$G,$Q$10,BASE_DATA!$A:$A,INDEX(PARAMS!$D$2:$D$5,MATCH($F$3,PARAMS!$C$2:$C$5,0))))/IF($C$3="Total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matchs)",SUMIFS(BASE_DATA!$V:$V,BASE_DATA!$G:$G,$Q$10),SUMIFS(BASE_DATA!$V:$V,BASE_DATA!$G:$G,$Q$10,BASE_DATA!$A:$A,INDEX(PARAMS!$D$2:$D$5,MATCH($F$3,PARAMS!$C$2:$C$5,0))))/IF($C$3="Total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U10" s="57" t="n">
        <f aca="false">IF($K$3="Stats brutes",IF($C$3="Total (tous matchs)",SUMIFS(BASE_DATA!$W:$W,BASE_DATA!$G:$G,$Q$10),SUMIFS(BASE_DATA!$W:$W,BASE_DATA!$G:$G,$Q$10,BASE_DATA!$A:$A,INDEX(PARAMS!$D$2:$D$5,MATCH($F$3,PARAMS!$C$2:$C$5,0)))),IF($K$3="Par minute jouée",IFERROR(IF($C$3="Total (tous matchs)",SUMIFS(BASE_DATA!$W:$W,BASE_DATA!$G:$G,$Q$10),SUMIFS(BASE_DATA!$W:$W,BASE_DATA!$G:$G,$Q$10,BASE_DATA!$A:$A,INDEX(PARAMS!$D$2:$D$5,MATCH($F$3,PARAMS!$C$2:$C$5,0))))/IF($C$3="Total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matchs)",SUMIFS(BASE_DATA!$W:$W,BASE_DATA!$G:$G,$Q$10),SUMIFS(BASE_DATA!$W:$W,BASE_DATA!$G:$G,$Q$10,BASE_DATA!$A:$A,INDEX(PARAMS!$D$2:$D$5,MATCH($F$3,PARAMS!$C$2:$C$5,0))))/IF($C$3="Total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V10" s="57" t="n">
        <f aca="false">IF($K$3="Stats brutes",IF($C$3="Total (tous matchs)",SUMIFS(BASE_DATA!$AN:$AN,BASE_DATA!$G:$G,$Q$10),SUMIFS(BASE_DATA!$AN:$AN,BASE_DATA!$G:$G,$Q$10,BASE_DATA!$A:$A,INDEX(PARAMS!$D$2:$D$5,MATCH($F$3,PARAMS!$C$2:$C$5,0)))),IF($K$3="Par minute jouée",IFERROR(IF($C$3="Total (tous matchs)",SUMIFS(BASE_DATA!$AN:$AN,BASE_DATA!$G:$G,$Q$10),SUMIFS(BASE_DATA!$AN:$AN,BASE_DATA!$G:$G,$Q$10,BASE_DATA!$A:$A,INDEX(PARAMS!$D$2:$D$5,MATCH($F$3,PARAMS!$C$2:$C$5,0))))/IF($C$3="Total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matchs)",SUMIFS(BASE_DATA!$AN:$AN,BASE_DATA!$G:$G,$Q$10),SUMIFS(BASE_DATA!$AN:$AN,BASE_DATA!$G:$G,$Q$10,BASE_DATA!$A:$A,INDEX(PARAMS!$D$2:$D$5,MATCH($F$3,PARAMS!$C$2:$C$5,0))))/IF($C$3="Total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W10" s="57" t="n">
        <f aca="false">IF($K$3="Stats brutes",IF($C$3="Total (tous matchs)",SUMIFS(BASE_DATA!$AO:$AO,BASE_DATA!$G:$G,$Q$10),SUMIFS(BASE_DATA!$AO:$AO,BASE_DATA!$G:$G,$Q$10,BASE_DATA!$A:$A,INDEX(PARAMS!$D$2:$D$5,MATCH($F$3,PARAMS!$C$2:$C$5,0)))),IF($K$3="Par minute jouée",IFERROR(IF($C$3="Total (tous matchs)",SUMIFS(BASE_DATA!$AO:$AO,BASE_DATA!$G:$G,$Q$10),SUMIFS(BASE_DATA!$AO:$AO,BASE_DATA!$G:$G,$Q$10,BASE_DATA!$A:$A,INDEX(PARAMS!$D$2:$D$5,MATCH($F$3,PARAMS!$C$2:$C$5,0))))/IF($C$3="Total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matchs)",SUMIFS(BASE_DATA!$AO:$AO,BASE_DATA!$G:$G,$Q$10),SUMIFS(BASE_DATA!$AO:$AO,BASE_DATA!$G:$G,$Q$10,BASE_DATA!$A:$A,INDEX(PARAMS!$D$2:$D$5,MATCH($F$3,PARAMS!$C$2:$C$5,0))))/IF($C$3="Total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X10" s="57" t="n">
        <f aca="false">IF($K$3="Stats brutes",IF($C$3="Total (tous matchs)",SUMIFS(BASE_DATA!$AA:$AA,BASE_DATA!$G:$G,$Q$10),SUMIFS(BASE_DATA!$AA:$AA,BASE_DATA!$G:$G,$Q$10,BASE_DATA!$A:$A,INDEX(PARAMS!$D$2:$D$5,MATCH($F$3,PARAMS!$C$2:$C$5,0)))),IF($K$3="Par minute jouée",IFERROR(IF($C$3="Total (tous matchs)",SUMIFS(BASE_DATA!$AA:$AA,BASE_DATA!$G:$G,$Q$10),SUMIFS(BASE_DATA!$AA:$AA,BASE_DATA!$G:$G,$Q$10,BASE_DATA!$A:$A,INDEX(PARAMS!$D$2:$D$5,MATCH($F$3,PARAMS!$C$2:$C$5,0))))/IF($C$3="Total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matchs)",SUMIFS(BASE_DATA!$AA:$AA,BASE_DATA!$G:$G,$Q$10),SUMIFS(BASE_DATA!$AA:$AA,BASE_DATA!$G:$G,$Q$10,BASE_DATA!$A:$A,INDEX(PARAMS!$D$2:$D$5,MATCH($F$3,PARAMS!$C$2:$C$5,0))))/IF($C$3="Total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Y10" s="57" t="n">
        <f aca="false">IF($K$3="Stats brutes",IF($C$3="Total (tous matchs)",SUMIFS(BASE_DATA!$AH:$AH,BASE_DATA!$G:$G,$Q$10),SUMIFS(BASE_DATA!$AH:$AH,BASE_DATA!$G:$G,$Q$10,BASE_DATA!$A:$A,INDEX(PARAMS!$D$2:$D$5,MATCH($F$3,PARAMS!$C$2:$C$5,0)))),IF($K$3="Par minute jouée",IFERROR(IF($C$3="Total (tous matchs)",SUMIFS(BASE_DATA!$AH:$AH,BASE_DATA!$G:$G,$Q$10),SUMIFS(BASE_DATA!$AH:$AH,BASE_DATA!$G:$G,$Q$10,BASE_DATA!$A:$A,INDEX(PARAMS!$D$2:$D$5,MATCH($F$3,PARAMS!$C$2:$C$5,0))))/IF($C$3="Total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matchs)",SUMIFS(BASE_DATA!$AH:$AH,BASE_DATA!$G:$G,$Q$10),SUMIFS(BASE_DATA!$AH:$AH,BASE_DATA!$G:$G,$Q$10,BASE_DATA!$A:$A,INDEX(PARAMS!$D$2:$D$5,MATCH($F$3,PARAMS!$C$2:$C$5,0))))/IF($C$3="Total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Z10" s="57" t="n">
        <f aca="false">IF($K$3="Stats brutes",IF($C$3="Total (tous matchs)",SUMIFS(BASE_DATA!$AI:$AI,BASE_DATA!$G:$G,$Q$10),SUMIFS(BASE_DATA!$AI:$AI,BASE_DATA!$G:$G,$Q$10,BASE_DATA!$A:$A,INDEX(PARAMS!$D$2:$D$5,MATCH($F$3,PARAMS!$C$2:$C$5,0)))),IF($K$3="Par minute jouée",IFERROR(IF($C$3="Total (tous matchs)",SUMIFS(BASE_DATA!$AI:$AI,BASE_DATA!$G:$G,$Q$10),SUMIFS(BASE_DATA!$AI:$AI,BASE_DATA!$G:$G,$Q$10,BASE_DATA!$A:$A,INDEX(PARAMS!$D$2:$D$5,MATCH($F$3,PARAMS!$C$2:$C$5,0))))/IF($C$3="Total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matchs)",SUMIFS(BASE_DATA!$AI:$AI,BASE_DATA!$G:$G,$Q$10),SUMIFS(BASE_DATA!$AI:$AI,BASE_DATA!$G:$G,$Q$10,BASE_DATA!$A:$A,INDEX(PARAMS!$D$2:$D$5,MATCH($F$3,PARAMS!$C$2:$C$5,0))))/IF($C$3="Total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AA10" s="57" t="n">
        <f aca="false">IF($K$3="Stats brutes",IF($C$3="Total (tous matchs)",SUMIFS(BASE_DATA!$AJ:$AJ,BASE_DATA!$G:$G,$Q$10),SUMIFS(BASE_DATA!$AJ:$AJ,BASE_DATA!$G:$G,$Q$10,BASE_DATA!$A:$A,INDEX(PARAMS!$D$2:$D$5,MATCH($F$3,PARAMS!$C$2:$C$5,0)))),IF($K$3="Par minute jouée",IFERROR(IF($C$3="Total (tous matchs)",SUMIFS(BASE_DATA!$AJ:$AJ,BASE_DATA!$G:$G,$Q$10),SUMIFS(BASE_DATA!$AJ:$AJ,BASE_DATA!$G:$G,$Q$10,BASE_DATA!$A:$A,INDEX(PARAMS!$D$2:$D$5,MATCH($F$3,PARAMS!$C$2:$C$5,0))))/IF($C$3="Total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matchs)",SUMIFS(BASE_DATA!$AJ:$AJ,BASE_DATA!$G:$G,$Q$10),SUMIFS(BASE_DATA!$AJ:$AJ,BASE_DATA!$G:$G,$Q$10,BASE_DATA!$A:$A,INDEX(PARAMS!$D$2:$D$5,MATCH($F$3,PARAMS!$C$2:$C$5,0))))/IF($C$3="Total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AB10" s="57" t="n">
        <f aca="false">IF($K$3="Stats brutes",IF($C$3="Total (tous matchs)",SUMIFS(BASE_DATA!$AK:$AK,BASE_DATA!$G:$G,$Q$10),SUMIFS(BASE_DATA!$AK:$AK,BASE_DATA!$G:$G,$Q$10,BASE_DATA!$A:$A,INDEX(PARAMS!$D$2:$D$5,MATCH($F$3,PARAMS!$C$2:$C$5,0)))),IF($K$3="Par minute jouée",IFERROR(IF($C$3="Total (tous matchs)",SUMIFS(BASE_DATA!$AK:$AK,BASE_DATA!$G:$G,$Q$10),SUMIFS(BASE_DATA!$AK:$AK,BASE_DATA!$G:$G,$Q$10,BASE_DATA!$A:$A,INDEX(PARAMS!$D$2:$D$5,MATCH($F$3,PARAMS!$C$2:$C$5,0))))/IF($C$3="Total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matchs)",SUMIFS(BASE_DATA!$R:$R,BASE_DATA!$G:$G,$Q$10),SUMIFS(BASE_DATA!$R:$R,BASE_DATA!$G:$G,$Q$10,BASE_DATA!$A:$A,INDEX(PARAMS!$D$2:$D$5,MATCH($F$3,PARAMS!$C$2:$C$5,0)))),0),IFERROR(IF($C$3="Total (tous matchs)",SUMIFS(BASE_DATA!$AK:$AK,BASE_DATA!$G:$G,$Q$10),SUMIFS(BASE_DATA!$AK:$AK,BASE_DATA!$G:$G,$Q$10,BASE_DATA!$A:$A,INDEX(PARAMS!$D$2:$D$5,MATCH($F$3,PARAMS!$C$2:$C$5,0))))/IF($C$3="Total (tous matchs)",SUMIFS(BASE_DATA!$R:$R,BASE_DATA!$G:$G,$Q$10),SUMIFS(BASE_DATA!$R:$R,BASE_DATA!$G:$G,$Q$10,BASE_DATA!$A:$A,INDEX(PARAMS!$D$2:$D$5,MATCH($F$3,PARAMS!$C$2:$C$5,0))))*40,0)))</f>
        <v>0</v>
      </c>
      <c r="AC10" s="58" t="n">
        <f aca="false">IF($C$3="Total (tous matchs)",SUMIFS(BASE_DATA!$R:$R,BASE_DATA!$G:$G,$Q$10),SUMIFS(BASE_DATA!$R:$R,BASE_DATA!$G:$G,$Q$10,BASE_DATA!$A:$A,INDEX(PARAMS!$D$2:$D$5,MATCH($F$3,PARAMS!$C$2:$C$5,0))))</f>
        <v>0</v>
      </c>
      <c r="AD10" s="59" t="n">
        <f aca="false">IF($C$3="Total (tous matchs)",COUNTIFS(BASE_DATA!$G:$G,$Q$10),COUNTIFS(BASE_DATA!$G:$G,$Q$10,BASE_DATA!$A:$A,INDEX(PARAMS!$D$2:$D$5,MATCH($F$3,PARAMS!$C$2:$C$5,0))))</f>
        <v>0</v>
      </c>
      <c r="AF10" s="13" t="n">
        <f aca="false">IFERROR(C10-F10,"-")</f>
        <v>-3</v>
      </c>
    </row>
    <row r="11" customFormat="false" ht="15" hidden="false" customHeight="true" outlineLevel="0" collapsed="false">
      <c r="B11" s="76" t="s">
        <v>143</v>
      </c>
      <c r="C11" s="77" t="n">
        <f aca="false">IFERROR(VLOOKUP($C$5,$Q$1:$AD$20,5,FALSE()),"-")</f>
        <v>1</v>
      </c>
      <c r="E11" s="76" t="s">
        <v>143</v>
      </c>
      <c r="F11" s="77" t="n">
        <f aca="false">IFERROR(VLOOKUP($F$5,$Q$1:$AD$20,5,FALSE()),"-")</f>
        <v>3</v>
      </c>
      <c r="H11" s="76" t="s">
        <v>143</v>
      </c>
      <c r="I11" s="75" t="n">
        <f aca="false">IFERROR(VLOOKUP($I$5,$Q$1:$AD$20,5,FALSE()),"-")</f>
        <v>5</v>
      </c>
      <c r="K11" s="73"/>
      <c r="L11" s="73"/>
      <c r="Q11" s="56" t="s">
        <v>119</v>
      </c>
      <c r="R11" s="57" t="n">
        <f aca="false">IF($K$3="Stats brutes",IF($C$3="Total (tous matchs)",SUMIFS(BASE_DATA!$T:$T,BASE_DATA!$G:$G,$Q$11),SUMIFS(BASE_DATA!$T:$T,BASE_DATA!$G:$G,$Q$11,BASE_DATA!$A:$A,INDEX(PARAMS!$D$2:$D$5,MATCH($F$3,PARAMS!$C$2:$C$5,0)))),IF($K$3="Par minute jouée",IFERROR(IF($C$3="Total (tous matchs)",SUMIFS(BASE_DATA!$T:$T,BASE_DATA!$G:$G,$Q$11),SUMIFS(BASE_DATA!$T:$T,BASE_DATA!$G:$G,$Q$11,BASE_DATA!$A:$A,INDEX(PARAMS!$D$2:$D$5,MATCH($F$3,PARAMS!$C$2:$C$5,0))))/IF($C$3="Total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matchs)",SUMIFS(BASE_DATA!$T:$T,BASE_DATA!$G:$G,$Q$11),SUMIFS(BASE_DATA!$T:$T,BASE_DATA!$G:$G,$Q$11,BASE_DATA!$A:$A,INDEX(PARAMS!$D$2:$D$5,MATCH($F$3,PARAMS!$C$2:$C$5,0))))/IF($C$3="Total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0</v>
      </c>
      <c r="S11" s="57" t="n">
        <f aca="false">IF($K$3="Stats brutes",IF($C$3="Total (tous matchs)",SUMIFS(BASE_DATA!$U:$U,BASE_DATA!$G:$G,$Q$11),SUMIFS(BASE_DATA!$U:$U,BASE_DATA!$G:$G,$Q$11,BASE_DATA!$A:$A,INDEX(PARAMS!$D$2:$D$5,MATCH($F$3,PARAMS!$C$2:$C$5,0)))),IF($K$3="Par minute jouée",IFERROR(IF($C$3="Total (tous matchs)",SUMIFS(BASE_DATA!$U:$U,BASE_DATA!$G:$G,$Q$11),SUMIFS(BASE_DATA!$U:$U,BASE_DATA!$G:$G,$Q$11,BASE_DATA!$A:$A,INDEX(PARAMS!$D$2:$D$5,MATCH($F$3,PARAMS!$C$2:$C$5,0))))/IF($C$3="Total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matchs)",SUMIFS(BASE_DATA!$U:$U,BASE_DATA!$G:$G,$Q$11),SUMIFS(BASE_DATA!$U:$U,BASE_DATA!$G:$G,$Q$11,BASE_DATA!$A:$A,INDEX(PARAMS!$D$2:$D$5,MATCH($F$3,PARAMS!$C$2:$C$5,0))))/IF($C$3="Total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1</v>
      </c>
      <c r="T11" s="57" t="n">
        <f aca="false">IF($K$3="Stats brutes",IF($C$3="Total (tous matchs)",SUMIFS(BASE_DATA!$V:$V,BASE_DATA!$G:$G,$Q$11),SUMIFS(BASE_DATA!$V:$V,BASE_DATA!$G:$G,$Q$11,BASE_DATA!$A:$A,INDEX(PARAMS!$D$2:$D$5,MATCH($F$3,PARAMS!$C$2:$C$5,0)))),IF($K$3="Par minute jouée",IFERROR(IF($C$3="Total (tous matchs)",SUMIFS(BASE_DATA!$V:$V,BASE_DATA!$G:$G,$Q$11),SUMIFS(BASE_DATA!$V:$V,BASE_DATA!$G:$G,$Q$11,BASE_DATA!$A:$A,INDEX(PARAMS!$D$2:$D$5,MATCH($F$3,PARAMS!$C$2:$C$5,0))))/IF($C$3="Total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matchs)",SUMIFS(BASE_DATA!$V:$V,BASE_DATA!$G:$G,$Q$11),SUMIFS(BASE_DATA!$V:$V,BASE_DATA!$G:$G,$Q$11,BASE_DATA!$A:$A,INDEX(PARAMS!$D$2:$D$5,MATCH($F$3,PARAMS!$C$2:$C$5,0))))/IF($C$3="Total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2</v>
      </c>
      <c r="U11" s="57" t="n">
        <f aca="false">IF($K$3="Stats brutes",IF($C$3="Total (tous matchs)",SUMIFS(BASE_DATA!$W:$W,BASE_DATA!$G:$G,$Q$11),SUMIFS(BASE_DATA!$W:$W,BASE_DATA!$G:$G,$Q$11,BASE_DATA!$A:$A,INDEX(PARAMS!$D$2:$D$5,MATCH($F$3,PARAMS!$C$2:$C$5,0)))),IF($K$3="Par minute jouée",IFERROR(IF($C$3="Total (tous matchs)",SUMIFS(BASE_DATA!$W:$W,BASE_DATA!$G:$G,$Q$11),SUMIFS(BASE_DATA!$W:$W,BASE_DATA!$G:$G,$Q$11,BASE_DATA!$A:$A,INDEX(PARAMS!$D$2:$D$5,MATCH($F$3,PARAMS!$C$2:$C$5,0))))/IF($C$3="Total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matchs)",SUMIFS(BASE_DATA!$W:$W,BASE_DATA!$G:$G,$Q$11),SUMIFS(BASE_DATA!$W:$W,BASE_DATA!$G:$G,$Q$11,BASE_DATA!$A:$A,INDEX(PARAMS!$D$2:$D$5,MATCH($F$3,PARAMS!$C$2:$C$5,0))))/IF($C$3="Total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0</v>
      </c>
      <c r="V11" s="57" t="n">
        <f aca="false">IF($K$3="Stats brutes",IF($C$3="Total (tous matchs)",SUMIFS(BASE_DATA!$AN:$AN,BASE_DATA!$G:$G,$Q$11),SUMIFS(BASE_DATA!$AN:$AN,BASE_DATA!$G:$G,$Q$11,BASE_DATA!$A:$A,INDEX(PARAMS!$D$2:$D$5,MATCH($F$3,PARAMS!$C$2:$C$5,0)))),IF($K$3="Par minute jouée",IFERROR(IF($C$3="Total (tous matchs)",SUMIFS(BASE_DATA!$AN:$AN,BASE_DATA!$G:$G,$Q$11),SUMIFS(BASE_DATA!$AN:$AN,BASE_DATA!$G:$G,$Q$11,BASE_DATA!$A:$A,INDEX(PARAMS!$D$2:$D$5,MATCH($F$3,PARAMS!$C$2:$C$5,0))))/IF($C$3="Total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matchs)",SUMIFS(BASE_DATA!$AN:$AN,BASE_DATA!$G:$G,$Q$11),SUMIFS(BASE_DATA!$AN:$AN,BASE_DATA!$G:$G,$Q$11,BASE_DATA!$A:$A,INDEX(PARAMS!$D$2:$D$5,MATCH($F$3,PARAMS!$C$2:$C$5,0))))/IF($C$3="Total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0</v>
      </c>
      <c r="W11" s="57" t="n">
        <f aca="false">IF($K$3="Stats brutes",IF($C$3="Total (tous matchs)",SUMIFS(BASE_DATA!$AO:$AO,BASE_DATA!$G:$G,$Q$11),SUMIFS(BASE_DATA!$AO:$AO,BASE_DATA!$G:$G,$Q$11,BASE_DATA!$A:$A,INDEX(PARAMS!$D$2:$D$5,MATCH($F$3,PARAMS!$C$2:$C$5,0)))),IF($K$3="Par minute jouée",IFERROR(IF($C$3="Total (tous matchs)",SUMIFS(BASE_DATA!$AO:$AO,BASE_DATA!$G:$G,$Q$11),SUMIFS(BASE_DATA!$AO:$AO,BASE_DATA!$G:$G,$Q$11,BASE_DATA!$A:$A,INDEX(PARAMS!$D$2:$D$5,MATCH($F$3,PARAMS!$C$2:$C$5,0))))/IF($C$3="Total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matchs)",SUMIFS(BASE_DATA!$AO:$AO,BASE_DATA!$G:$G,$Q$11),SUMIFS(BASE_DATA!$AO:$AO,BASE_DATA!$G:$G,$Q$11,BASE_DATA!$A:$A,INDEX(PARAMS!$D$2:$D$5,MATCH($F$3,PARAMS!$C$2:$C$5,0))))/IF($C$3="Total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1</v>
      </c>
      <c r="X11" s="57" t="n">
        <f aca="false">IF($K$3="Stats brutes",IF($C$3="Total (tous matchs)",SUMIFS(BASE_DATA!$AA:$AA,BASE_DATA!$G:$G,$Q$11),SUMIFS(BASE_DATA!$AA:$AA,BASE_DATA!$G:$G,$Q$11,BASE_DATA!$A:$A,INDEX(PARAMS!$D$2:$D$5,MATCH($F$3,PARAMS!$C$2:$C$5,0)))),IF($K$3="Par minute jouée",IFERROR(IF($C$3="Total (tous matchs)",SUMIFS(BASE_DATA!$AA:$AA,BASE_DATA!$G:$G,$Q$11),SUMIFS(BASE_DATA!$AA:$AA,BASE_DATA!$G:$G,$Q$11,BASE_DATA!$A:$A,INDEX(PARAMS!$D$2:$D$5,MATCH($F$3,PARAMS!$C$2:$C$5,0))))/IF($C$3="Total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matchs)",SUMIFS(BASE_DATA!$AA:$AA,BASE_DATA!$G:$G,$Q$11),SUMIFS(BASE_DATA!$AA:$AA,BASE_DATA!$G:$G,$Q$11,BASE_DATA!$A:$A,INDEX(PARAMS!$D$2:$D$5,MATCH($F$3,PARAMS!$C$2:$C$5,0))))/IF($C$3="Total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7</v>
      </c>
      <c r="Y11" s="57" t="n">
        <f aca="false">IF($K$3="Stats brutes",IF($C$3="Total (tous matchs)",SUMIFS(BASE_DATA!$AH:$AH,BASE_DATA!$G:$G,$Q$11),SUMIFS(BASE_DATA!$AH:$AH,BASE_DATA!$G:$G,$Q$11,BASE_DATA!$A:$A,INDEX(PARAMS!$D$2:$D$5,MATCH($F$3,PARAMS!$C$2:$C$5,0)))),IF($K$3="Par minute jouée",IFERROR(IF($C$3="Total (tous matchs)",SUMIFS(BASE_DATA!$AH:$AH,BASE_DATA!$G:$G,$Q$11),SUMIFS(BASE_DATA!$AH:$AH,BASE_DATA!$G:$G,$Q$11,BASE_DATA!$A:$A,INDEX(PARAMS!$D$2:$D$5,MATCH($F$3,PARAMS!$C$2:$C$5,0))))/IF($C$3="Total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matchs)",SUMIFS(BASE_DATA!$AH:$AH,BASE_DATA!$G:$G,$Q$11),SUMIFS(BASE_DATA!$AH:$AH,BASE_DATA!$G:$G,$Q$11,BASE_DATA!$A:$A,INDEX(PARAMS!$D$2:$D$5,MATCH($F$3,PARAMS!$C$2:$C$5,0))))/IF($C$3="Total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1</v>
      </c>
      <c r="Z11" s="57" t="n">
        <f aca="false">IF($K$3="Stats brutes",IF($C$3="Total (tous matchs)",SUMIFS(BASE_DATA!$AI:$AI,BASE_DATA!$G:$G,$Q$11),SUMIFS(BASE_DATA!$AI:$AI,BASE_DATA!$G:$G,$Q$11,BASE_DATA!$A:$A,INDEX(PARAMS!$D$2:$D$5,MATCH($F$3,PARAMS!$C$2:$C$5,0)))),IF($K$3="Par minute jouée",IFERROR(IF($C$3="Total (tous matchs)",SUMIFS(BASE_DATA!$AI:$AI,BASE_DATA!$G:$G,$Q$11),SUMIFS(BASE_DATA!$AI:$AI,BASE_DATA!$G:$G,$Q$11,BASE_DATA!$A:$A,INDEX(PARAMS!$D$2:$D$5,MATCH($F$3,PARAMS!$C$2:$C$5,0))))/IF($C$3="Total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matchs)",SUMIFS(BASE_DATA!$AI:$AI,BASE_DATA!$G:$G,$Q$11),SUMIFS(BASE_DATA!$AI:$AI,BASE_DATA!$G:$G,$Q$11,BASE_DATA!$A:$A,INDEX(PARAMS!$D$2:$D$5,MATCH($F$3,PARAMS!$C$2:$C$5,0))))/IF($C$3="Total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1</v>
      </c>
      <c r="AA11" s="57" t="n">
        <f aca="false">IF($K$3="Stats brutes",IF($C$3="Total (tous matchs)",SUMIFS(BASE_DATA!$AJ:$AJ,BASE_DATA!$G:$G,$Q$11),SUMIFS(BASE_DATA!$AJ:$AJ,BASE_DATA!$G:$G,$Q$11,BASE_DATA!$A:$A,INDEX(PARAMS!$D$2:$D$5,MATCH($F$3,PARAMS!$C$2:$C$5,0)))),IF($K$3="Par minute jouée",IFERROR(IF($C$3="Total (tous matchs)",SUMIFS(BASE_DATA!$AJ:$AJ,BASE_DATA!$G:$G,$Q$11),SUMIFS(BASE_DATA!$AJ:$AJ,BASE_DATA!$G:$G,$Q$11,BASE_DATA!$A:$A,INDEX(PARAMS!$D$2:$D$5,MATCH($F$3,PARAMS!$C$2:$C$5,0))))/IF($C$3="Total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matchs)",SUMIFS(BASE_DATA!$AJ:$AJ,BASE_DATA!$G:$G,$Q$11),SUMIFS(BASE_DATA!$AJ:$AJ,BASE_DATA!$G:$G,$Q$11,BASE_DATA!$A:$A,INDEX(PARAMS!$D$2:$D$5,MATCH($F$3,PARAMS!$C$2:$C$5,0))))/IF($C$3="Total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1</v>
      </c>
      <c r="AB11" s="57" t="n">
        <f aca="false">IF($K$3="Stats brutes",IF($C$3="Total (tous matchs)",SUMIFS(BASE_DATA!$AK:$AK,BASE_DATA!$G:$G,$Q$11),SUMIFS(BASE_DATA!$AK:$AK,BASE_DATA!$G:$G,$Q$11,BASE_DATA!$A:$A,INDEX(PARAMS!$D$2:$D$5,MATCH($F$3,PARAMS!$C$2:$C$5,0)))),IF($K$3="Par minute jouée",IFERROR(IF($C$3="Total (tous matchs)",SUMIFS(BASE_DATA!$AK:$AK,BASE_DATA!$G:$G,$Q$11),SUMIFS(BASE_DATA!$AK:$AK,BASE_DATA!$G:$G,$Q$11,BASE_DATA!$A:$A,INDEX(PARAMS!$D$2:$D$5,MATCH($F$3,PARAMS!$C$2:$C$5,0))))/IF($C$3="Total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matchs)",SUMIFS(BASE_DATA!$R:$R,BASE_DATA!$G:$G,$Q$11),SUMIFS(BASE_DATA!$R:$R,BASE_DATA!$G:$G,$Q$11,BASE_DATA!$A:$A,INDEX(PARAMS!$D$2:$D$5,MATCH($F$3,PARAMS!$C$2:$C$5,0)))),0),IFERROR(IF($C$3="Total (tous matchs)",SUMIFS(BASE_DATA!$AK:$AK,BASE_DATA!$G:$G,$Q$11),SUMIFS(BASE_DATA!$AK:$AK,BASE_DATA!$G:$G,$Q$11,BASE_DATA!$A:$A,INDEX(PARAMS!$D$2:$D$5,MATCH($F$3,PARAMS!$C$2:$C$5,0))))/IF($C$3="Total (tous matchs)",SUMIFS(BASE_DATA!$R:$R,BASE_DATA!$G:$G,$Q$11),SUMIFS(BASE_DATA!$R:$R,BASE_DATA!$G:$G,$Q$11,BASE_DATA!$A:$A,INDEX(PARAMS!$D$2:$D$5,MATCH($F$3,PARAMS!$C$2:$C$5,0))))*40,0)))</f>
        <v>1</v>
      </c>
      <c r="AC11" s="58" t="n">
        <f aca="false">IF($C$3="Total (tous matchs)",SUMIFS(BASE_DATA!$R:$R,BASE_DATA!$G:$G,$Q$11),SUMIFS(BASE_DATA!$R:$R,BASE_DATA!$G:$G,$Q$11,BASE_DATA!$A:$A,INDEX(PARAMS!$D$2:$D$5,MATCH($F$3,PARAMS!$C$2:$C$5,0))))</f>
        <v>12</v>
      </c>
      <c r="AD11" s="59" t="n">
        <f aca="false">IF($C$3="Total (tous matchs)",COUNTIFS(BASE_DATA!$G:$G,$Q$11),COUNTIFS(BASE_DATA!$G:$G,$Q$11,BASE_DATA!$A:$A,INDEX(PARAMS!$D$2:$D$5,MATCH($F$3,PARAMS!$C$2:$C$5,0))))</f>
        <v>1</v>
      </c>
      <c r="AF11" s="15" t="n">
        <f aca="false">IFERROR(C11-F11,"-")</f>
        <v>-2</v>
      </c>
    </row>
    <row r="12" customFormat="false" ht="15" hidden="false" customHeight="true" outlineLevel="0" collapsed="false">
      <c r="B12" s="74" t="s">
        <v>55</v>
      </c>
      <c r="C12" s="75" t="n">
        <f aca="false">IFERROR(VLOOKUP($C$5,$Q$1:$AD$20,6,FALSE()),"-")</f>
        <v>0</v>
      </c>
      <c r="E12" s="74" t="s">
        <v>55</v>
      </c>
      <c r="F12" s="75" t="n">
        <f aca="false">IFERROR(VLOOKUP($F$5,$Q$1:$AD$20,6,FALSE()),"-")</f>
        <v>1</v>
      </c>
      <c r="H12" s="74" t="s">
        <v>55</v>
      </c>
      <c r="I12" s="75" t="n">
        <f aca="false">IFERROR(VLOOKUP($I$5,$Q$1:$AD$20,6,FALSE()),"-")</f>
        <v>1</v>
      </c>
      <c r="K12" s="73"/>
      <c r="L12" s="73"/>
      <c r="Q12" s="56" t="s">
        <v>120</v>
      </c>
      <c r="R12" s="57" t="n">
        <f aca="false">IF($K$3="Stats brutes",IF($C$3="Total (tous matchs)",SUMIFS(BASE_DATA!$T:$T,BASE_DATA!$G:$G,$Q$12),SUMIFS(BASE_DATA!$T:$T,BASE_DATA!$G:$G,$Q$12,BASE_DATA!$A:$A,INDEX(PARAMS!$D$2:$D$5,MATCH($F$3,PARAMS!$C$2:$C$5,0)))),IF($K$3="Par minute jouée",IFERROR(IF($C$3="Total (tous matchs)",SUMIFS(BASE_DATA!$T:$T,BASE_DATA!$G:$G,$Q$12),SUMIFS(BASE_DATA!$T:$T,BASE_DATA!$G:$G,$Q$12,BASE_DATA!$A:$A,INDEX(PARAMS!$D$2:$D$5,MATCH($F$3,PARAMS!$C$2:$C$5,0))))/IF($C$3="Total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matchs)",SUMIFS(BASE_DATA!$T:$T,BASE_DATA!$G:$G,$Q$12),SUMIFS(BASE_DATA!$T:$T,BASE_DATA!$G:$G,$Q$12,BASE_DATA!$A:$A,INDEX(PARAMS!$D$2:$D$5,MATCH($F$3,PARAMS!$C$2:$C$5,0))))/IF($C$3="Total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1</v>
      </c>
      <c r="S12" s="57" t="n">
        <f aca="false">IF($K$3="Stats brutes",IF($C$3="Total (tous matchs)",SUMIFS(BASE_DATA!$U:$U,BASE_DATA!$G:$G,$Q$12),SUMIFS(BASE_DATA!$U:$U,BASE_DATA!$G:$G,$Q$12,BASE_DATA!$A:$A,INDEX(PARAMS!$D$2:$D$5,MATCH($F$3,PARAMS!$C$2:$C$5,0)))),IF($K$3="Par minute jouée",IFERROR(IF($C$3="Total (tous matchs)",SUMIFS(BASE_DATA!$U:$U,BASE_DATA!$G:$G,$Q$12),SUMIFS(BASE_DATA!$U:$U,BASE_DATA!$G:$G,$Q$12,BASE_DATA!$A:$A,INDEX(PARAMS!$D$2:$D$5,MATCH($F$3,PARAMS!$C$2:$C$5,0))))/IF($C$3="Total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matchs)",SUMIFS(BASE_DATA!$U:$U,BASE_DATA!$G:$G,$Q$12),SUMIFS(BASE_DATA!$U:$U,BASE_DATA!$G:$G,$Q$12,BASE_DATA!$A:$A,INDEX(PARAMS!$D$2:$D$5,MATCH($F$3,PARAMS!$C$2:$C$5,0))))/IF($C$3="Total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0</v>
      </c>
      <c r="T12" s="57" t="n">
        <f aca="false">IF($K$3="Stats brutes",IF($C$3="Total (tous matchs)",SUMIFS(BASE_DATA!$V:$V,BASE_DATA!$G:$G,$Q$12),SUMIFS(BASE_DATA!$V:$V,BASE_DATA!$G:$G,$Q$12,BASE_DATA!$A:$A,INDEX(PARAMS!$D$2:$D$5,MATCH($F$3,PARAMS!$C$2:$C$5,0)))),IF($K$3="Par minute jouée",IFERROR(IF($C$3="Total (tous matchs)",SUMIFS(BASE_DATA!$V:$V,BASE_DATA!$G:$G,$Q$12),SUMIFS(BASE_DATA!$V:$V,BASE_DATA!$G:$G,$Q$12,BASE_DATA!$A:$A,INDEX(PARAMS!$D$2:$D$5,MATCH($F$3,PARAMS!$C$2:$C$5,0))))/IF($C$3="Total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matchs)",SUMIFS(BASE_DATA!$V:$V,BASE_DATA!$G:$G,$Q$12),SUMIFS(BASE_DATA!$V:$V,BASE_DATA!$G:$G,$Q$12,BASE_DATA!$A:$A,INDEX(PARAMS!$D$2:$D$5,MATCH($F$3,PARAMS!$C$2:$C$5,0))))/IF($C$3="Total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7</v>
      </c>
      <c r="U12" s="57" t="n">
        <f aca="false">IF($K$3="Stats brutes",IF($C$3="Total (tous matchs)",SUMIFS(BASE_DATA!$W:$W,BASE_DATA!$G:$G,$Q$12),SUMIFS(BASE_DATA!$W:$W,BASE_DATA!$G:$G,$Q$12,BASE_DATA!$A:$A,INDEX(PARAMS!$D$2:$D$5,MATCH($F$3,PARAMS!$C$2:$C$5,0)))),IF($K$3="Par minute jouée",IFERROR(IF($C$3="Total (tous matchs)",SUMIFS(BASE_DATA!$W:$W,BASE_DATA!$G:$G,$Q$12),SUMIFS(BASE_DATA!$W:$W,BASE_DATA!$G:$G,$Q$12,BASE_DATA!$A:$A,INDEX(PARAMS!$D$2:$D$5,MATCH($F$3,PARAMS!$C$2:$C$5,0))))/IF($C$3="Total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matchs)",SUMIFS(BASE_DATA!$W:$W,BASE_DATA!$G:$G,$Q$12),SUMIFS(BASE_DATA!$W:$W,BASE_DATA!$G:$G,$Q$12,BASE_DATA!$A:$A,INDEX(PARAMS!$D$2:$D$5,MATCH($F$3,PARAMS!$C$2:$C$5,0))))/IF($C$3="Total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5</v>
      </c>
      <c r="V12" s="57" t="n">
        <f aca="false">IF($K$3="Stats brutes",IF($C$3="Total (tous matchs)",SUMIFS(BASE_DATA!$AN:$AN,BASE_DATA!$G:$G,$Q$12),SUMIFS(BASE_DATA!$AN:$AN,BASE_DATA!$G:$G,$Q$12,BASE_DATA!$A:$A,INDEX(PARAMS!$D$2:$D$5,MATCH($F$3,PARAMS!$C$2:$C$5,0)))),IF($K$3="Par minute jouée",IFERROR(IF($C$3="Total (tous matchs)",SUMIFS(BASE_DATA!$AN:$AN,BASE_DATA!$G:$G,$Q$12),SUMIFS(BASE_DATA!$AN:$AN,BASE_DATA!$G:$G,$Q$12,BASE_DATA!$A:$A,INDEX(PARAMS!$D$2:$D$5,MATCH($F$3,PARAMS!$C$2:$C$5,0))))/IF($C$3="Total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matchs)",SUMIFS(BASE_DATA!$AN:$AN,BASE_DATA!$G:$G,$Q$12),SUMIFS(BASE_DATA!$AN:$AN,BASE_DATA!$G:$G,$Q$12,BASE_DATA!$A:$A,INDEX(PARAMS!$D$2:$D$5,MATCH($F$3,PARAMS!$C$2:$C$5,0))))/IF($C$3="Total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1</v>
      </c>
      <c r="W12" s="57" t="n">
        <f aca="false">IF($K$3="Stats brutes",IF($C$3="Total (tous matchs)",SUMIFS(BASE_DATA!$AO:$AO,BASE_DATA!$G:$G,$Q$12),SUMIFS(BASE_DATA!$AO:$AO,BASE_DATA!$G:$G,$Q$12,BASE_DATA!$A:$A,INDEX(PARAMS!$D$2:$D$5,MATCH($F$3,PARAMS!$C$2:$C$5,0)))),IF($K$3="Par minute jouée",IFERROR(IF($C$3="Total (tous matchs)",SUMIFS(BASE_DATA!$AO:$AO,BASE_DATA!$G:$G,$Q$12),SUMIFS(BASE_DATA!$AO:$AO,BASE_DATA!$G:$G,$Q$12,BASE_DATA!$A:$A,INDEX(PARAMS!$D$2:$D$5,MATCH($F$3,PARAMS!$C$2:$C$5,0))))/IF($C$3="Total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matchs)",SUMIFS(BASE_DATA!$AO:$AO,BASE_DATA!$G:$G,$Q$12),SUMIFS(BASE_DATA!$AO:$AO,BASE_DATA!$G:$G,$Q$12,BASE_DATA!$A:$A,INDEX(PARAMS!$D$2:$D$5,MATCH($F$3,PARAMS!$C$2:$C$5,0))))/IF($C$3="Total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2</v>
      </c>
      <c r="X12" s="57" t="n">
        <f aca="false">IF($K$3="Stats brutes",IF($C$3="Total (tous matchs)",SUMIFS(BASE_DATA!$AA:$AA,BASE_DATA!$G:$G,$Q$12),SUMIFS(BASE_DATA!$AA:$AA,BASE_DATA!$G:$G,$Q$12,BASE_DATA!$A:$A,INDEX(PARAMS!$D$2:$D$5,MATCH($F$3,PARAMS!$C$2:$C$5,0)))),IF($K$3="Par minute jouée",IFERROR(IF($C$3="Total (tous matchs)",SUMIFS(BASE_DATA!$AA:$AA,BASE_DATA!$G:$G,$Q$12),SUMIFS(BASE_DATA!$AA:$AA,BASE_DATA!$G:$G,$Q$12,BASE_DATA!$A:$A,INDEX(PARAMS!$D$2:$D$5,MATCH($F$3,PARAMS!$C$2:$C$5,0))))/IF($C$3="Total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matchs)",SUMIFS(BASE_DATA!$AA:$AA,BASE_DATA!$G:$G,$Q$12),SUMIFS(BASE_DATA!$AA:$AA,BASE_DATA!$G:$G,$Q$12,BASE_DATA!$A:$A,INDEX(PARAMS!$D$2:$D$5,MATCH($F$3,PARAMS!$C$2:$C$5,0))))/IF($C$3="Total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4</v>
      </c>
      <c r="Y12" s="57" t="n">
        <f aca="false">IF($K$3="Stats brutes",IF($C$3="Total (tous matchs)",SUMIFS(BASE_DATA!$AH:$AH,BASE_DATA!$G:$G,$Q$12),SUMIFS(BASE_DATA!$AH:$AH,BASE_DATA!$G:$G,$Q$12,BASE_DATA!$A:$A,INDEX(PARAMS!$D$2:$D$5,MATCH($F$3,PARAMS!$C$2:$C$5,0)))),IF($K$3="Par minute jouée",IFERROR(IF($C$3="Total (tous matchs)",SUMIFS(BASE_DATA!$AH:$AH,BASE_DATA!$G:$G,$Q$12),SUMIFS(BASE_DATA!$AH:$AH,BASE_DATA!$G:$G,$Q$12,BASE_DATA!$A:$A,INDEX(PARAMS!$D$2:$D$5,MATCH($F$3,PARAMS!$C$2:$C$5,0))))/IF($C$3="Total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matchs)",SUMIFS(BASE_DATA!$AH:$AH,BASE_DATA!$G:$G,$Q$12),SUMIFS(BASE_DATA!$AH:$AH,BASE_DATA!$G:$G,$Q$12,BASE_DATA!$A:$A,INDEX(PARAMS!$D$2:$D$5,MATCH($F$3,PARAMS!$C$2:$C$5,0))))/IF($C$3="Total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0</v>
      </c>
      <c r="Z12" s="57" t="n">
        <f aca="false">IF($K$3="Stats brutes",IF($C$3="Total (tous matchs)",SUMIFS(BASE_DATA!$AI:$AI,BASE_DATA!$G:$G,$Q$12),SUMIFS(BASE_DATA!$AI:$AI,BASE_DATA!$G:$G,$Q$12,BASE_DATA!$A:$A,INDEX(PARAMS!$D$2:$D$5,MATCH($F$3,PARAMS!$C$2:$C$5,0)))),IF($K$3="Par minute jouée",IFERROR(IF($C$3="Total (tous matchs)",SUMIFS(BASE_DATA!$AI:$AI,BASE_DATA!$G:$G,$Q$12),SUMIFS(BASE_DATA!$AI:$AI,BASE_DATA!$G:$G,$Q$12,BASE_DATA!$A:$A,INDEX(PARAMS!$D$2:$D$5,MATCH($F$3,PARAMS!$C$2:$C$5,0))))/IF($C$3="Total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matchs)",SUMIFS(BASE_DATA!$AI:$AI,BASE_DATA!$G:$G,$Q$12),SUMIFS(BASE_DATA!$AI:$AI,BASE_DATA!$G:$G,$Q$12,BASE_DATA!$A:$A,INDEX(PARAMS!$D$2:$D$5,MATCH($F$3,PARAMS!$C$2:$C$5,0))))/IF($C$3="Total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1</v>
      </c>
      <c r="AA12" s="57" t="n">
        <f aca="false">IF($K$3="Stats brutes",IF($C$3="Total (tous matchs)",SUMIFS(BASE_DATA!$AJ:$AJ,BASE_DATA!$G:$G,$Q$12),SUMIFS(BASE_DATA!$AJ:$AJ,BASE_DATA!$G:$G,$Q$12,BASE_DATA!$A:$A,INDEX(PARAMS!$D$2:$D$5,MATCH($F$3,PARAMS!$C$2:$C$5,0)))),IF($K$3="Par minute jouée",IFERROR(IF($C$3="Total (tous matchs)",SUMIFS(BASE_DATA!$AJ:$AJ,BASE_DATA!$G:$G,$Q$12),SUMIFS(BASE_DATA!$AJ:$AJ,BASE_DATA!$G:$G,$Q$12,BASE_DATA!$A:$A,INDEX(PARAMS!$D$2:$D$5,MATCH($F$3,PARAMS!$C$2:$C$5,0))))/IF($C$3="Total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matchs)",SUMIFS(BASE_DATA!$AJ:$AJ,BASE_DATA!$G:$G,$Q$12),SUMIFS(BASE_DATA!$AJ:$AJ,BASE_DATA!$G:$G,$Q$12,BASE_DATA!$A:$A,INDEX(PARAMS!$D$2:$D$5,MATCH($F$3,PARAMS!$C$2:$C$5,0))))/IF($C$3="Total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0</v>
      </c>
      <c r="AB12" s="57" t="n">
        <f aca="false">IF($K$3="Stats brutes",IF($C$3="Total (tous matchs)",SUMIFS(BASE_DATA!$AK:$AK,BASE_DATA!$G:$G,$Q$12),SUMIFS(BASE_DATA!$AK:$AK,BASE_DATA!$G:$G,$Q$12,BASE_DATA!$A:$A,INDEX(PARAMS!$D$2:$D$5,MATCH($F$3,PARAMS!$C$2:$C$5,0)))),IF($K$3="Par minute jouée",IFERROR(IF($C$3="Total (tous matchs)",SUMIFS(BASE_DATA!$AK:$AK,BASE_DATA!$G:$G,$Q$12),SUMIFS(BASE_DATA!$AK:$AK,BASE_DATA!$G:$G,$Q$12,BASE_DATA!$A:$A,INDEX(PARAMS!$D$2:$D$5,MATCH($F$3,PARAMS!$C$2:$C$5,0))))/IF($C$3="Total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matchs)",SUMIFS(BASE_DATA!$R:$R,BASE_DATA!$G:$G,$Q$12),SUMIFS(BASE_DATA!$R:$R,BASE_DATA!$G:$G,$Q$12,BASE_DATA!$A:$A,INDEX(PARAMS!$D$2:$D$5,MATCH($F$3,PARAMS!$C$2:$C$5,0)))),0),IFERROR(IF($C$3="Total (tous matchs)",SUMIFS(BASE_DATA!$AK:$AK,BASE_DATA!$G:$G,$Q$12),SUMIFS(BASE_DATA!$AK:$AK,BASE_DATA!$G:$G,$Q$12,BASE_DATA!$A:$A,INDEX(PARAMS!$D$2:$D$5,MATCH($F$3,PARAMS!$C$2:$C$5,0))))/IF($C$3="Total (tous matchs)",SUMIFS(BASE_DATA!$R:$R,BASE_DATA!$G:$G,$Q$12),SUMIFS(BASE_DATA!$R:$R,BASE_DATA!$G:$G,$Q$12,BASE_DATA!$A:$A,INDEX(PARAMS!$D$2:$D$5,MATCH($F$3,PARAMS!$C$2:$C$5,0))))*40,0)))</f>
        <v>0</v>
      </c>
      <c r="AC12" s="58" t="n">
        <f aca="false">IF($C$3="Total (tous matchs)",SUMIFS(BASE_DATA!$R:$R,BASE_DATA!$G:$G,$Q$12),SUMIFS(BASE_DATA!$R:$R,BASE_DATA!$G:$G,$Q$12,BASE_DATA!$A:$A,INDEX(PARAMS!$D$2:$D$5,MATCH($F$3,PARAMS!$C$2:$C$5,0))))</f>
        <v>14.5</v>
      </c>
      <c r="AD12" s="59" t="n">
        <f aca="false">IF($C$3="Total (tous matchs)",COUNTIFS(BASE_DATA!$G:$G,$Q$12),COUNTIFS(BASE_DATA!$G:$G,$Q$12,BASE_DATA!$A:$A,INDEX(PARAMS!$D$2:$D$5,MATCH($F$3,PARAMS!$C$2:$C$5,0))))</f>
        <v>1</v>
      </c>
      <c r="AF12" s="13" t="n">
        <f aca="false">IFERROR(C12-F12,"-")</f>
        <v>-1</v>
      </c>
    </row>
    <row r="13" customFormat="false" ht="15" hidden="false" customHeight="true" outlineLevel="0" collapsed="false">
      <c r="B13" s="76" t="s">
        <v>57</v>
      </c>
      <c r="C13" s="77" t="n">
        <f aca="false">IFERROR(VLOOKUP($C$5,$Q$1:$AD$20,7,FALSE()),"-")</f>
        <v>1</v>
      </c>
      <c r="E13" s="76" t="s">
        <v>57</v>
      </c>
      <c r="F13" s="77" t="n">
        <f aca="false">IFERROR(VLOOKUP($F$5,$Q$1:$AD$20,7,FALSE()),"-")</f>
        <v>4</v>
      </c>
      <c r="H13" s="76" t="s">
        <v>57</v>
      </c>
      <c r="I13" s="75" t="n">
        <f aca="false">IFERROR(VLOOKUP($I$5,$Q$1:$AD$20,7,FALSE()),"-")</f>
        <v>2</v>
      </c>
      <c r="K13" s="73"/>
      <c r="L13" s="73"/>
      <c r="Q13" s="56" t="s">
        <v>40</v>
      </c>
      <c r="R13" s="57" t="n">
        <f aca="false">IF($K$3="Stats brutes",IF($C$3="Total (tous matchs)",SUMIFS(BASE_DATA!$T:$T,BASE_DATA!$G:$G,$Q$13),SUMIFS(BASE_DATA!$T:$T,BASE_DATA!$G:$G,$Q$13,BASE_DATA!$A:$A,INDEX(PARAMS!$D$2:$D$5,MATCH($F$3,PARAMS!$C$2:$C$5,0)))),IF($K$3="Par minute jouée",IFERROR(IF($C$3="Total (tous matchs)",SUMIFS(BASE_DATA!$T:$T,BASE_DATA!$G:$G,$Q$13),SUMIFS(BASE_DATA!$T:$T,BASE_DATA!$G:$G,$Q$13,BASE_DATA!$A:$A,INDEX(PARAMS!$D$2:$D$5,MATCH($F$3,PARAMS!$C$2:$C$5,0))))/IF($C$3="Total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matchs)",SUMIFS(BASE_DATA!$T:$T,BASE_DATA!$G:$G,$Q$13),SUMIFS(BASE_DATA!$T:$T,BASE_DATA!$G:$G,$Q$13,BASE_DATA!$A:$A,INDEX(PARAMS!$D$2:$D$5,MATCH($F$3,PARAMS!$C$2:$C$5,0))))/IF($C$3="Total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0</v>
      </c>
      <c r="S13" s="57" t="n">
        <f aca="false">IF($K$3="Stats brutes",IF($C$3="Total (tous matchs)",SUMIFS(BASE_DATA!$U:$U,BASE_DATA!$G:$G,$Q$13),SUMIFS(BASE_DATA!$U:$U,BASE_DATA!$G:$G,$Q$13,BASE_DATA!$A:$A,INDEX(PARAMS!$D$2:$D$5,MATCH($F$3,PARAMS!$C$2:$C$5,0)))),IF($K$3="Par minute jouée",IFERROR(IF($C$3="Total (tous matchs)",SUMIFS(BASE_DATA!$U:$U,BASE_DATA!$G:$G,$Q$13),SUMIFS(BASE_DATA!$U:$U,BASE_DATA!$G:$G,$Q$13,BASE_DATA!$A:$A,INDEX(PARAMS!$D$2:$D$5,MATCH($F$3,PARAMS!$C$2:$C$5,0))))/IF($C$3="Total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matchs)",SUMIFS(BASE_DATA!$U:$U,BASE_DATA!$G:$G,$Q$13),SUMIFS(BASE_DATA!$U:$U,BASE_DATA!$G:$G,$Q$13,BASE_DATA!$A:$A,INDEX(PARAMS!$D$2:$D$5,MATCH($F$3,PARAMS!$C$2:$C$5,0))))/IF($C$3="Total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0</v>
      </c>
      <c r="T13" s="57" t="n">
        <f aca="false">IF($K$3="Stats brutes",IF($C$3="Total (tous matchs)",SUMIFS(BASE_DATA!$V:$V,BASE_DATA!$G:$G,$Q$13),SUMIFS(BASE_DATA!$V:$V,BASE_DATA!$G:$G,$Q$13,BASE_DATA!$A:$A,INDEX(PARAMS!$D$2:$D$5,MATCH($F$3,PARAMS!$C$2:$C$5,0)))),IF($K$3="Par minute jouée",IFERROR(IF($C$3="Total (tous matchs)",SUMIFS(BASE_DATA!$V:$V,BASE_DATA!$G:$G,$Q$13),SUMIFS(BASE_DATA!$V:$V,BASE_DATA!$G:$G,$Q$13,BASE_DATA!$A:$A,INDEX(PARAMS!$D$2:$D$5,MATCH($F$3,PARAMS!$C$2:$C$5,0))))/IF($C$3="Total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matchs)",SUMIFS(BASE_DATA!$V:$V,BASE_DATA!$G:$G,$Q$13),SUMIFS(BASE_DATA!$V:$V,BASE_DATA!$G:$G,$Q$13,BASE_DATA!$A:$A,INDEX(PARAMS!$D$2:$D$5,MATCH($F$3,PARAMS!$C$2:$C$5,0))))/IF($C$3="Total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1</v>
      </c>
      <c r="U13" s="57" t="n">
        <f aca="false">IF($K$3="Stats brutes",IF($C$3="Total (tous matchs)",SUMIFS(BASE_DATA!$W:$W,BASE_DATA!$G:$G,$Q$13),SUMIFS(BASE_DATA!$W:$W,BASE_DATA!$G:$G,$Q$13,BASE_DATA!$A:$A,INDEX(PARAMS!$D$2:$D$5,MATCH($F$3,PARAMS!$C$2:$C$5,0)))),IF($K$3="Par minute jouée",IFERROR(IF($C$3="Total (tous matchs)",SUMIFS(BASE_DATA!$W:$W,BASE_DATA!$G:$G,$Q$13),SUMIFS(BASE_DATA!$W:$W,BASE_DATA!$G:$G,$Q$13,BASE_DATA!$A:$A,INDEX(PARAMS!$D$2:$D$5,MATCH($F$3,PARAMS!$C$2:$C$5,0))))/IF($C$3="Total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matchs)",SUMIFS(BASE_DATA!$W:$W,BASE_DATA!$G:$G,$Q$13),SUMIFS(BASE_DATA!$W:$W,BASE_DATA!$G:$G,$Q$13,BASE_DATA!$A:$A,INDEX(PARAMS!$D$2:$D$5,MATCH($F$3,PARAMS!$C$2:$C$5,0))))/IF($C$3="Total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0</v>
      </c>
      <c r="V13" s="57" t="n">
        <f aca="false">IF($K$3="Stats brutes",IF($C$3="Total (tous matchs)",SUMIFS(BASE_DATA!$AN:$AN,BASE_DATA!$G:$G,$Q$13),SUMIFS(BASE_DATA!$AN:$AN,BASE_DATA!$G:$G,$Q$13,BASE_DATA!$A:$A,INDEX(PARAMS!$D$2:$D$5,MATCH($F$3,PARAMS!$C$2:$C$5,0)))),IF($K$3="Par minute jouée",IFERROR(IF($C$3="Total (tous matchs)",SUMIFS(BASE_DATA!$AN:$AN,BASE_DATA!$G:$G,$Q$13),SUMIFS(BASE_DATA!$AN:$AN,BASE_DATA!$G:$G,$Q$13,BASE_DATA!$A:$A,INDEX(PARAMS!$D$2:$D$5,MATCH($F$3,PARAMS!$C$2:$C$5,0))))/IF($C$3="Total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matchs)",SUMIFS(BASE_DATA!$AN:$AN,BASE_DATA!$G:$G,$Q$13),SUMIFS(BASE_DATA!$AN:$AN,BASE_DATA!$G:$G,$Q$13,BASE_DATA!$A:$A,INDEX(PARAMS!$D$2:$D$5,MATCH($F$3,PARAMS!$C$2:$C$5,0))))/IF($C$3="Total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2</v>
      </c>
      <c r="W13" s="57" t="n">
        <f aca="false">IF($K$3="Stats brutes",IF($C$3="Total (tous matchs)",SUMIFS(BASE_DATA!$AO:$AO,BASE_DATA!$G:$G,$Q$13),SUMIFS(BASE_DATA!$AO:$AO,BASE_DATA!$G:$G,$Q$13,BASE_DATA!$A:$A,INDEX(PARAMS!$D$2:$D$5,MATCH($F$3,PARAMS!$C$2:$C$5,0)))),IF($K$3="Par minute jouée",IFERROR(IF($C$3="Total (tous matchs)",SUMIFS(BASE_DATA!$AO:$AO,BASE_DATA!$G:$G,$Q$13),SUMIFS(BASE_DATA!$AO:$AO,BASE_DATA!$G:$G,$Q$13,BASE_DATA!$A:$A,INDEX(PARAMS!$D$2:$D$5,MATCH($F$3,PARAMS!$C$2:$C$5,0))))/IF($C$3="Total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matchs)",SUMIFS(BASE_DATA!$AO:$AO,BASE_DATA!$G:$G,$Q$13),SUMIFS(BASE_DATA!$AO:$AO,BASE_DATA!$G:$G,$Q$13,BASE_DATA!$A:$A,INDEX(PARAMS!$D$2:$D$5,MATCH($F$3,PARAMS!$C$2:$C$5,0))))/IF($C$3="Total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1</v>
      </c>
      <c r="X13" s="57" t="n">
        <f aca="false">IF($K$3="Stats brutes",IF($C$3="Total (tous matchs)",SUMIFS(BASE_DATA!$AA:$AA,BASE_DATA!$G:$G,$Q$13),SUMIFS(BASE_DATA!$AA:$AA,BASE_DATA!$G:$G,$Q$13,BASE_DATA!$A:$A,INDEX(PARAMS!$D$2:$D$5,MATCH($F$3,PARAMS!$C$2:$C$5,0)))),IF($K$3="Par minute jouée",IFERROR(IF($C$3="Total (tous matchs)",SUMIFS(BASE_DATA!$AA:$AA,BASE_DATA!$G:$G,$Q$13),SUMIFS(BASE_DATA!$AA:$AA,BASE_DATA!$G:$G,$Q$13,BASE_DATA!$A:$A,INDEX(PARAMS!$D$2:$D$5,MATCH($F$3,PARAMS!$C$2:$C$5,0))))/IF($C$3="Total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matchs)",SUMIFS(BASE_DATA!$AA:$AA,BASE_DATA!$G:$G,$Q$13),SUMIFS(BASE_DATA!$AA:$AA,BASE_DATA!$G:$G,$Q$13,BASE_DATA!$A:$A,INDEX(PARAMS!$D$2:$D$5,MATCH($F$3,PARAMS!$C$2:$C$5,0))))/IF($C$3="Total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3</v>
      </c>
      <c r="Y13" s="57" t="n">
        <f aca="false">IF($K$3="Stats brutes",IF($C$3="Total (tous matchs)",SUMIFS(BASE_DATA!$AH:$AH,BASE_DATA!$G:$G,$Q$13),SUMIFS(BASE_DATA!$AH:$AH,BASE_DATA!$G:$G,$Q$13,BASE_DATA!$A:$A,INDEX(PARAMS!$D$2:$D$5,MATCH($F$3,PARAMS!$C$2:$C$5,0)))),IF($K$3="Par minute jouée",IFERROR(IF($C$3="Total (tous matchs)",SUMIFS(BASE_DATA!$AH:$AH,BASE_DATA!$G:$G,$Q$13),SUMIFS(BASE_DATA!$AH:$AH,BASE_DATA!$G:$G,$Q$13,BASE_DATA!$A:$A,INDEX(PARAMS!$D$2:$D$5,MATCH($F$3,PARAMS!$C$2:$C$5,0))))/IF($C$3="Total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matchs)",SUMIFS(BASE_DATA!$AH:$AH,BASE_DATA!$G:$G,$Q$13),SUMIFS(BASE_DATA!$AH:$AH,BASE_DATA!$G:$G,$Q$13,BASE_DATA!$A:$A,INDEX(PARAMS!$D$2:$D$5,MATCH($F$3,PARAMS!$C$2:$C$5,0))))/IF($C$3="Total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0</v>
      </c>
      <c r="Z13" s="57" t="n">
        <f aca="false">IF($K$3="Stats brutes",IF($C$3="Total (tous matchs)",SUMIFS(BASE_DATA!$AI:$AI,BASE_DATA!$G:$G,$Q$13),SUMIFS(BASE_DATA!$AI:$AI,BASE_DATA!$G:$G,$Q$13,BASE_DATA!$A:$A,INDEX(PARAMS!$D$2:$D$5,MATCH($F$3,PARAMS!$C$2:$C$5,0)))),IF($K$3="Par minute jouée",IFERROR(IF($C$3="Total (tous matchs)",SUMIFS(BASE_DATA!$AI:$AI,BASE_DATA!$G:$G,$Q$13),SUMIFS(BASE_DATA!$AI:$AI,BASE_DATA!$G:$G,$Q$13,BASE_DATA!$A:$A,INDEX(PARAMS!$D$2:$D$5,MATCH($F$3,PARAMS!$C$2:$C$5,0))))/IF($C$3="Total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matchs)",SUMIFS(BASE_DATA!$AI:$AI,BASE_DATA!$G:$G,$Q$13),SUMIFS(BASE_DATA!$AI:$AI,BASE_DATA!$G:$G,$Q$13,BASE_DATA!$A:$A,INDEX(PARAMS!$D$2:$D$5,MATCH($F$3,PARAMS!$C$2:$C$5,0))))/IF($C$3="Total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1</v>
      </c>
      <c r="AA13" s="57" t="n">
        <f aca="false">IF($K$3="Stats brutes",IF($C$3="Total (tous matchs)",SUMIFS(BASE_DATA!$AJ:$AJ,BASE_DATA!$G:$G,$Q$13),SUMIFS(BASE_DATA!$AJ:$AJ,BASE_DATA!$G:$G,$Q$13,BASE_DATA!$A:$A,INDEX(PARAMS!$D$2:$D$5,MATCH($F$3,PARAMS!$C$2:$C$5,0)))),IF($K$3="Par minute jouée",IFERROR(IF($C$3="Total (tous matchs)",SUMIFS(BASE_DATA!$AJ:$AJ,BASE_DATA!$G:$G,$Q$13),SUMIFS(BASE_DATA!$AJ:$AJ,BASE_DATA!$G:$G,$Q$13,BASE_DATA!$A:$A,INDEX(PARAMS!$D$2:$D$5,MATCH($F$3,PARAMS!$C$2:$C$5,0))))/IF($C$3="Total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matchs)",SUMIFS(BASE_DATA!$AJ:$AJ,BASE_DATA!$G:$G,$Q$13),SUMIFS(BASE_DATA!$AJ:$AJ,BASE_DATA!$G:$G,$Q$13,BASE_DATA!$A:$A,INDEX(PARAMS!$D$2:$D$5,MATCH($F$3,PARAMS!$C$2:$C$5,0))))/IF($C$3="Total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0</v>
      </c>
      <c r="AB13" s="57" t="n">
        <f aca="false">IF($K$3="Stats brutes",IF($C$3="Total (tous matchs)",SUMIFS(BASE_DATA!$AK:$AK,BASE_DATA!$G:$G,$Q$13),SUMIFS(BASE_DATA!$AK:$AK,BASE_DATA!$G:$G,$Q$13,BASE_DATA!$A:$A,INDEX(PARAMS!$D$2:$D$5,MATCH($F$3,PARAMS!$C$2:$C$5,0)))),IF($K$3="Par minute jouée",IFERROR(IF($C$3="Total (tous matchs)",SUMIFS(BASE_DATA!$AK:$AK,BASE_DATA!$G:$G,$Q$13),SUMIFS(BASE_DATA!$AK:$AK,BASE_DATA!$G:$G,$Q$13,BASE_DATA!$A:$A,INDEX(PARAMS!$D$2:$D$5,MATCH($F$3,PARAMS!$C$2:$C$5,0))))/IF($C$3="Total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matchs)",SUMIFS(BASE_DATA!$R:$R,BASE_DATA!$G:$G,$Q$13),SUMIFS(BASE_DATA!$R:$R,BASE_DATA!$G:$G,$Q$13,BASE_DATA!$A:$A,INDEX(PARAMS!$D$2:$D$5,MATCH($F$3,PARAMS!$C$2:$C$5,0)))),0),IFERROR(IF($C$3="Total (tous matchs)",SUMIFS(BASE_DATA!$AK:$AK,BASE_DATA!$G:$G,$Q$13),SUMIFS(BASE_DATA!$AK:$AK,BASE_DATA!$G:$G,$Q$13,BASE_DATA!$A:$A,INDEX(PARAMS!$D$2:$D$5,MATCH($F$3,PARAMS!$C$2:$C$5,0))))/IF($C$3="Total (tous matchs)",SUMIFS(BASE_DATA!$R:$R,BASE_DATA!$G:$G,$Q$13),SUMIFS(BASE_DATA!$R:$R,BASE_DATA!$G:$G,$Q$13,BASE_DATA!$A:$A,INDEX(PARAMS!$D$2:$D$5,MATCH($F$3,PARAMS!$C$2:$C$5,0))))*40,0)))</f>
        <v>0</v>
      </c>
      <c r="AC13" s="58" t="n">
        <f aca="false">IF($C$3="Total (tous matchs)",SUMIFS(BASE_DATA!$R:$R,BASE_DATA!$G:$G,$Q$13),SUMIFS(BASE_DATA!$R:$R,BASE_DATA!$G:$G,$Q$13,BASE_DATA!$A:$A,INDEX(PARAMS!$D$2:$D$5,MATCH($F$3,PARAMS!$C$2:$C$5,0))))</f>
        <v>14</v>
      </c>
      <c r="AD13" s="59" t="n">
        <f aca="false">IF($C$3="Total (tous matchs)",COUNTIFS(BASE_DATA!$G:$G,$Q$13),COUNTIFS(BASE_DATA!$G:$G,$Q$13,BASE_DATA!$A:$A,INDEX(PARAMS!$D$2:$D$5,MATCH($F$3,PARAMS!$C$2:$C$5,0))))</f>
        <v>1</v>
      </c>
      <c r="AF13" s="15" t="n">
        <f aca="false">IFERROR(C13-F13,"-")</f>
        <v>-3</v>
      </c>
    </row>
    <row r="14" customFormat="false" ht="15" hidden="false" customHeight="true" outlineLevel="0" collapsed="false">
      <c r="B14" s="74" t="s">
        <v>111</v>
      </c>
      <c r="C14" s="75" t="n">
        <f aca="false">IFERROR(VLOOKUP($C$5,$Q$1:$AD$20,8,FALSE()),"-")</f>
        <v>8</v>
      </c>
      <c r="E14" s="74" t="s">
        <v>111</v>
      </c>
      <c r="F14" s="75" t="n">
        <f aca="false">IFERROR(VLOOKUP($F$5,$Q$1:$AD$20,8,FALSE()),"-")</f>
        <v>5</v>
      </c>
      <c r="H14" s="74" t="s">
        <v>111</v>
      </c>
      <c r="I14" s="75" t="n">
        <f aca="false">IFERROR(VLOOKUP($I$5,$Q$1:$AD$20,8,FALSE()),"-")</f>
        <v>4</v>
      </c>
      <c r="K14" s="73"/>
      <c r="L14" s="73"/>
      <c r="Q14" s="56" t="s">
        <v>121</v>
      </c>
      <c r="R14" s="57" t="n">
        <f aca="false">IF($K$3="Stats brutes",IF($C$3="Total (tous matchs)",SUMIFS(BASE_DATA!$T:$T,BASE_DATA!$G:$G,$Q$14),SUMIFS(BASE_DATA!$T:$T,BASE_DATA!$G:$G,$Q$14,BASE_DATA!$A:$A,INDEX(PARAMS!$D$2:$D$5,MATCH($F$3,PARAMS!$C$2:$C$5,0)))),IF($K$3="Par minute jouée",IFERROR(IF($C$3="Total (tous matchs)",SUMIFS(BASE_DATA!$T:$T,BASE_DATA!$G:$G,$Q$14),SUMIFS(BASE_DATA!$T:$T,BASE_DATA!$G:$G,$Q$14,BASE_DATA!$A:$A,INDEX(PARAMS!$D$2:$D$5,MATCH($F$3,PARAMS!$C$2:$C$5,0))))/IF($C$3="Total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matchs)",SUMIFS(BASE_DATA!$T:$T,BASE_DATA!$G:$G,$Q$14),SUMIFS(BASE_DATA!$T:$T,BASE_DATA!$G:$G,$Q$14,BASE_DATA!$A:$A,INDEX(PARAMS!$D$2:$D$5,MATCH($F$3,PARAMS!$C$2:$C$5,0))))/IF($C$3="Total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S14" s="57" t="n">
        <f aca="false">IF($K$3="Stats brutes",IF($C$3="Total (tous matchs)",SUMIFS(BASE_DATA!$U:$U,BASE_DATA!$G:$G,$Q$14),SUMIFS(BASE_DATA!$U:$U,BASE_DATA!$G:$G,$Q$14,BASE_DATA!$A:$A,INDEX(PARAMS!$D$2:$D$5,MATCH($F$3,PARAMS!$C$2:$C$5,0)))),IF($K$3="Par minute jouée",IFERROR(IF($C$3="Total (tous matchs)",SUMIFS(BASE_DATA!$U:$U,BASE_DATA!$G:$G,$Q$14),SUMIFS(BASE_DATA!$U:$U,BASE_DATA!$G:$G,$Q$14,BASE_DATA!$A:$A,INDEX(PARAMS!$D$2:$D$5,MATCH($F$3,PARAMS!$C$2:$C$5,0))))/IF($C$3="Total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matchs)",SUMIFS(BASE_DATA!$U:$U,BASE_DATA!$G:$G,$Q$14),SUMIFS(BASE_DATA!$U:$U,BASE_DATA!$G:$G,$Q$14,BASE_DATA!$A:$A,INDEX(PARAMS!$D$2:$D$5,MATCH($F$3,PARAMS!$C$2:$C$5,0))))/IF($C$3="Total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T14" s="57" t="n">
        <f aca="false">IF($K$3="Stats brutes",IF($C$3="Total (tous matchs)",SUMIFS(BASE_DATA!$V:$V,BASE_DATA!$G:$G,$Q$14),SUMIFS(BASE_DATA!$V:$V,BASE_DATA!$G:$G,$Q$14,BASE_DATA!$A:$A,INDEX(PARAMS!$D$2:$D$5,MATCH($F$3,PARAMS!$C$2:$C$5,0)))),IF($K$3="Par minute jouée",IFERROR(IF($C$3="Total (tous matchs)",SUMIFS(BASE_DATA!$V:$V,BASE_DATA!$G:$G,$Q$14),SUMIFS(BASE_DATA!$V:$V,BASE_DATA!$G:$G,$Q$14,BASE_DATA!$A:$A,INDEX(PARAMS!$D$2:$D$5,MATCH($F$3,PARAMS!$C$2:$C$5,0))))/IF($C$3="Total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matchs)",SUMIFS(BASE_DATA!$V:$V,BASE_DATA!$G:$G,$Q$14),SUMIFS(BASE_DATA!$V:$V,BASE_DATA!$G:$G,$Q$14,BASE_DATA!$A:$A,INDEX(PARAMS!$D$2:$D$5,MATCH($F$3,PARAMS!$C$2:$C$5,0))))/IF($C$3="Total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U14" s="57" t="n">
        <f aca="false">IF($K$3="Stats brutes",IF($C$3="Total (tous matchs)",SUMIFS(BASE_DATA!$W:$W,BASE_DATA!$G:$G,$Q$14),SUMIFS(BASE_DATA!$W:$W,BASE_DATA!$G:$G,$Q$14,BASE_DATA!$A:$A,INDEX(PARAMS!$D$2:$D$5,MATCH($F$3,PARAMS!$C$2:$C$5,0)))),IF($K$3="Par minute jouée",IFERROR(IF($C$3="Total (tous matchs)",SUMIFS(BASE_DATA!$W:$W,BASE_DATA!$G:$G,$Q$14),SUMIFS(BASE_DATA!$W:$W,BASE_DATA!$G:$G,$Q$14,BASE_DATA!$A:$A,INDEX(PARAMS!$D$2:$D$5,MATCH($F$3,PARAMS!$C$2:$C$5,0))))/IF($C$3="Total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matchs)",SUMIFS(BASE_DATA!$W:$W,BASE_DATA!$G:$G,$Q$14),SUMIFS(BASE_DATA!$W:$W,BASE_DATA!$G:$G,$Q$14,BASE_DATA!$A:$A,INDEX(PARAMS!$D$2:$D$5,MATCH($F$3,PARAMS!$C$2:$C$5,0))))/IF($C$3="Total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V14" s="57" t="n">
        <f aca="false">IF($K$3="Stats brutes",IF($C$3="Total (tous matchs)",SUMIFS(BASE_DATA!$AN:$AN,BASE_DATA!$G:$G,$Q$14),SUMIFS(BASE_DATA!$AN:$AN,BASE_DATA!$G:$G,$Q$14,BASE_DATA!$A:$A,INDEX(PARAMS!$D$2:$D$5,MATCH($F$3,PARAMS!$C$2:$C$5,0)))),IF($K$3="Par minute jouée",IFERROR(IF($C$3="Total (tous matchs)",SUMIFS(BASE_DATA!$AN:$AN,BASE_DATA!$G:$G,$Q$14),SUMIFS(BASE_DATA!$AN:$AN,BASE_DATA!$G:$G,$Q$14,BASE_DATA!$A:$A,INDEX(PARAMS!$D$2:$D$5,MATCH($F$3,PARAMS!$C$2:$C$5,0))))/IF($C$3="Total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matchs)",SUMIFS(BASE_DATA!$AN:$AN,BASE_DATA!$G:$G,$Q$14),SUMIFS(BASE_DATA!$AN:$AN,BASE_DATA!$G:$G,$Q$14,BASE_DATA!$A:$A,INDEX(PARAMS!$D$2:$D$5,MATCH($F$3,PARAMS!$C$2:$C$5,0))))/IF($C$3="Total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W14" s="57" t="n">
        <f aca="false">IF($K$3="Stats brutes",IF($C$3="Total (tous matchs)",SUMIFS(BASE_DATA!$AO:$AO,BASE_DATA!$G:$G,$Q$14),SUMIFS(BASE_DATA!$AO:$AO,BASE_DATA!$G:$G,$Q$14,BASE_DATA!$A:$A,INDEX(PARAMS!$D$2:$D$5,MATCH($F$3,PARAMS!$C$2:$C$5,0)))),IF($K$3="Par minute jouée",IFERROR(IF($C$3="Total (tous matchs)",SUMIFS(BASE_DATA!$AO:$AO,BASE_DATA!$G:$G,$Q$14),SUMIFS(BASE_DATA!$AO:$AO,BASE_DATA!$G:$G,$Q$14,BASE_DATA!$A:$A,INDEX(PARAMS!$D$2:$D$5,MATCH($F$3,PARAMS!$C$2:$C$5,0))))/IF($C$3="Total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matchs)",SUMIFS(BASE_DATA!$AO:$AO,BASE_DATA!$G:$G,$Q$14),SUMIFS(BASE_DATA!$AO:$AO,BASE_DATA!$G:$G,$Q$14,BASE_DATA!$A:$A,INDEX(PARAMS!$D$2:$D$5,MATCH($F$3,PARAMS!$C$2:$C$5,0))))/IF($C$3="Total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X14" s="57" t="n">
        <f aca="false">IF($K$3="Stats brutes",IF($C$3="Total (tous matchs)",SUMIFS(BASE_DATA!$AA:$AA,BASE_DATA!$G:$G,$Q$14),SUMIFS(BASE_DATA!$AA:$AA,BASE_DATA!$G:$G,$Q$14,BASE_DATA!$A:$A,INDEX(PARAMS!$D$2:$D$5,MATCH($F$3,PARAMS!$C$2:$C$5,0)))),IF($K$3="Par minute jouée",IFERROR(IF($C$3="Total (tous matchs)",SUMIFS(BASE_DATA!$AA:$AA,BASE_DATA!$G:$G,$Q$14),SUMIFS(BASE_DATA!$AA:$AA,BASE_DATA!$G:$G,$Q$14,BASE_DATA!$A:$A,INDEX(PARAMS!$D$2:$D$5,MATCH($F$3,PARAMS!$C$2:$C$5,0))))/IF($C$3="Total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matchs)",SUMIFS(BASE_DATA!$AA:$AA,BASE_DATA!$G:$G,$Q$14),SUMIFS(BASE_DATA!$AA:$AA,BASE_DATA!$G:$G,$Q$14,BASE_DATA!$A:$A,INDEX(PARAMS!$D$2:$D$5,MATCH($F$3,PARAMS!$C$2:$C$5,0))))/IF($C$3="Total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Y14" s="57" t="n">
        <f aca="false">IF($K$3="Stats brutes",IF($C$3="Total (tous matchs)",SUMIFS(BASE_DATA!$AH:$AH,BASE_DATA!$G:$G,$Q$14),SUMIFS(BASE_DATA!$AH:$AH,BASE_DATA!$G:$G,$Q$14,BASE_DATA!$A:$A,INDEX(PARAMS!$D$2:$D$5,MATCH($F$3,PARAMS!$C$2:$C$5,0)))),IF($K$3="Par minute jouée",IFERROR(IF($C$3="Total (tous matchs)",SUMIFS(BASE_DATA!$AH:$AH,BASE_DATA!$G:$G,$Q$14),SUMIFS(BASE_DATA!$AH:$AH,BASE_DATA!$G:$G,$Q$14,BASE_DATA!$A:$A,INDEX(PARAMS!$D$2:$D$5,MATCH($F$3,PARAMS!$C$2:$C$5,0))))/IF($C$3="Total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matchs)",SUMIFS(BASE_DATA!$AH:$AH,BASE_DATA!$G:$G,$Q$14),SUMIFS(BASE_DATA!$AH:$AH,BASE_DATA!$G:$G,$Q$14,BASE_DATA!$A:$A,INDEX(PARAMS!$D$2:$D$5,MATCH($F$3,PARAMS!$C$2:$C$5,0))))/IF($C$3="Total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Z14" s="57" t="n">
        <f aca="false">IF($K$3="Stats brutes",IF($C$3="Total (tous matchs)",SUMIFS(BASE_DATA!$AI:$AI,BASE_DATA!$G:$G,$Q$14),SUMIFS(BASE_DATA!$AI:$AI,BASE_DATA!$G:$G,$Q$14,BASE_DATA!$A:$A,INDEX(PARAMS!$D$2:$D$5,MATCH($F$3,PARAMS!$C$2:$C$5,0)))),IF($K$3="Par minute jouée",IFERROR(IF($C$3="Total (tous matchs)",SUMIFS(BASE_DATA!$AI:$AI,BASE_DATA!$G:$G,$Q$14),SUMIFS(BASE_DATA!$AI:$AI,BASE_DATA!$G:$G,$Q$14,BASE_DATA!$A:$A,INDEX(PARAMS!$D$2:$D$5,MATCH($F$3,PARAMS!$C$2:$C$5,0))))/IF($C$3="Total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matchs)",SUMIFS(BASE_DATA!$AI:$AI,BASE_DATA!$G:$G,$Q$14),SUMIFS(BASE_DATA!$AI:$AI,BASE_DATA!$G:$G,$Q$14,BASE_DATA!$A:$A,INDEX(PARAMS!$D$2:$D$5,MATCH($F$3,PARAMS!$C$2:$C$5,0))))/IF($C$3="Total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AA14" s="57" t="n">
        <f aca="false">IF($K$3="Stats brutes",IF($C$3="Total (tous matchs)",SUMIFS(BASE_DATA!$AJ:$AJ,BASE_DATA!$G:$G,$Q$14),SUMIFS(BASE_DATA!$AJ:$AJ,BASE_DATA!$G:$G,$Q$14,BASE_DATA!$A:$A,INDEX(PARAMS!$D$2:$D$5,MATCH($F$3,PARAMS!$C$2:$C$5,0)))),IF($K$3="Par minute jouée",IFERROR(IF($C$3="Total (tous matchs)",SUMIFS(BASE_DATA!$AJ:$AJ,BASE_DATA!$G:$G,$Q$14),SUMIFS(BASE_DATA!$AJ:$AJ,BASE_DATA!$G:$G,$Q$14,BASE_DATA!$A:$A,INDEX(PARAMS!$D$2:$D$5,MATCH($F$3,PARAMS!$C$2:$C$5,0))))/IF($C$3="Total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matchs)",SUMIFS(BASE_DATA!$AJ:$AJ,BASE_DATA!$G:$G,$Q$14),SUMIFS(BASE_DATA!$AJ:$AJ,BASE_DATA!$G:$G,$Q$14,BASE_DATA!$A:$A,INDEX(PARAMS!$D$2:$D$5,MATCH($F$3,PARAMS!$C$2:$C$5,0))))/IF($C$3="Total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AB14" s="57" t="n">
        <f aca="false">IF($K$3="Stats brutes",IF($C$3="Total (tous matchs)",SUMIFS(BASE_DATA!$AK:$AK,BASE_DATA!$G:$G,$Q$14),SUMIFS(BASE_DATA!$AK:$AK,BASE_DATA!$G:$G,$Q$14,BASE_DATA!$A:$A,INDEX(PARAMS!$D$2:$D$5,MATCH($F$3,PARAMS!$C$2:$C$5,0)))),IF($K$3="Par minute jouée",IFERROR(IF($C$3="Total (tous matchs)",SUMIFS(BASE_DATA!$AK:$AK,BASE_DATA!$G:$G,$Q$14),SUMIFS(BASE_DATA!$AK:$AK,BASE_DATA!$G:$G,$Q$14,BASE_DATA!$A:$A,INDEX(PARAMS!$D$2:$D$5,MATCH($F$3,PARAMS!$C$2:$C$5,0))))/IF($C$3="Total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matchs)",SUMIFS(BASE_DATA!$R:$R,BASE_DATA!$G:$G,$Q$14),SUMIFS(BASE_DATA!$R:$R,BASE_DATA!$G:$G,$Q$14,BASE_DATA!$A:$A,INDEX(PARAMS!$D$2:$D$5,MATCH($F$3,PARAMS!$C$2:$C$5,0)))),0),IFERROR(IF($C$3="Total (tous matchs)",SUMIFS(BASE_DATA!$AK:$AK,BASE_DATA!$G:$G,$Q$14),SUMIFS(BASE_DATA!$AK:$AK,BASE_DATA!$G:$G,$Q$14,BASE_DATA!$A:$A,INDEX(PARAMS!$D$2:$D$5,MATCH($F$3,PARAMS!$C$2:$C$5,0))))/IF($C$3="Total (tous matchs)",SUMIFS(BASE_DATA!$R:$R,BASE_DATA!$G:$G,$Q$14),SUMIFS(BASE_DATA!$R:$R,BASE_DATA!$G:$G,$Q$14,BASE_DATA!$A:$A,INDEX(PARAMS!$D$2:$D$5,MATCH($F$3,PARAMS!$C$2:$C$5,0))))*40,0)))</f>
        <v>0</v>
      </c>
      <c r="AC14" s="58" t="n">
        <f aca="false">IF($C$3="Total (tous matchs)",SUMIFS(BASE_DATA!$R:$R,BASE_DATA!$G:$G,$Q$14),SUMIFS(BASE_DATA!$R:$R,BASE_DATA!$G:$G,$Q$14,BASE_DATA!$A:$A,INDEX(PARAMS!$D$2:$D$5,MATCH($F$3,PARAMS!$C$2:$C$5,0))))</f>
        <v>0</v>
      </c>
      <c r="AD14" s="59" t="n">
        <f aca="false">IF($C$3="Total (tous matchs)",COUNTIFS(BASE_DATA!$G:$G,$Q$14),COUNTIFS(BASE_DATA!$G:$G,$Q$14,BASE_DATA!$A:$A,INDEX(PARAMS!$D$2:$D$5,MATCH($F$3,PARAMS!$C$2:$C$5,0))))</f>
        <v>0</v>
      </c>
      <c r="AF14" s="13" t="n">
        <f aca="false">IFERROR(C14-F14,"-")</f>
        <v>3</v>
      </c>
    </row>
    <row r="15" customFormat="false" ht="15" hidden="false" customHeight="true" outlineLevel="0" collapsed="false">
      <c r="B15" s="76" t="s">
        <v>146</v>
      </c>
      <c r="C15" s="77" t="n">
        <f aca="false">IFERROR(VLOOKUP($C$5,$Q$1:$AD$20,9,FALSE()),"-")</f>
        <v>4</v>
      </c>
      <c r="E15" s="76" t="s">
        <v>146</v>
      </c>
      <c r="F15" s="77" t="n">
        <f aca="false">IFERROR(VLOOKUP($F$5,$Q$1:$AD$20,9,FALSE()),"-")</f>
        <v>3</v>
      </c>
      <c r="H15" s="76" t="s">
        <v>146</v>
      </c>
      <c r="I15" s="75" t="n">
        <f aca="false">IFERROR(VLOOKUP($I$5,$Q$1:$AD$20,9,FALSE()),"-")</f>
        <v>0</v>
      </c>
      <c r="K15" s="73"/>
      <c r="L15" s="73"/>
      <c r="Q15" s="56" t="s">
        <v>115</v>
      </c>
      <c r="R15" s="57" t="n">
        <f aca="false">IF($K$3="Stats brutes",IF($C$3="Total (tous matchs)",SUMIFS(BASE_DATA!$T:$T,BASE_DATA!$G:$G,$Q$15),SUMIFS(BASE_DATA!$T:$T,BASE_DATA!$G:$G,$Q$15,BASE_DATA!$A:$A,INDEX(PARAMS!$D$2:$D$5,MATCH($F$3,PARAMS!$C$2:$C$5,0)))),IF($K$3="Par minute jouée",IFERROR(IF($C$3="Total (tous matchs)",SUMIFS(BASE_DATA!$T:$T,BASE_DATA!$G:$G,$Q$15),SUMIFS(BASE_DATA!$T:$T,BASE_DATA!$G:$G,$Q$15,BASE_DATA!$A:$A,INDEX(PARAMS!$D$2:$D$5,MATCH($F$3,PARAMS!$C$2:$C$5,0))))/IF($C$3="Total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matchs)",SUMIFS(BASE_DATA!$T:$T,BASE_DATA!$G:$G,$Q$15),SUMIFS(BASE_DATA!$T:$T,BASE_DATA!$G:$G,$Q$15,BASE_DATA!$A:$A,INDEX(PARAMS!$D$2:$D$5,MATCH($F$3,PARAMS!$C$2:$C$5,0))))/IF($C$3="Total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S15" s="57" t="n">
        <f aca="false">IF($K$3="Stats brutes",IF($C$3="Total (tous matchs)",SUMIFS(BASE_DATA!$U:$U,BASE_DATA!$G:$G,$Q$15),SUMIFS(BASE_DATA!$U:$U,BASE_DATA!$G:$G,$Q$15,BASE_DATA!$A:$A,INDEX(PARAMS!$D$2:$D$5,MATCH($F$3,PARAMS!$C$2:$C$5,0)))),IF($K$3="Par minute jouée",IFERROR(IF($C$3="Total (tous matchs)",SUMIFS(BASE_DATA!$U:$U,BASE_DATA!$G:$G,$Q$15),SUMIFS(BASE_DATA!$U:$U,BASE_DATA!$G:$G,$Q$15,BASE_DATA!$A:$A,INDEX(PARAMS!$D$2:$D$5,MATCH($F$3,PARAMS!$C$2:$C$5,0))))/IF($C$3="Total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matchs)",SUMIFS(BASE_DATA!$U:$U,BASE_DATA!$G:$G,$Q$15),SUMIFS(BASE_DATA!$U:$U,BASE_DATA!$G:$G,$Q$15,BASE_DATA!$A:$A,INDEX(PARAMS!$D$2:$D$5,MATCH($F$3,PARAMS!$C$2:$C$5,0))))/IF($C$3="Total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T15" s="57" t="n">
        <f aca="false">IF($K$3="Stats brutes",IF($C$3="Total (tous matchs)",SUMIFS(BASE_DATA!$V:$V,BASE_DATA!$G:$G,$Q$15),SUMIFS(BASE_DATA!$V:$V,BASE_DATA!$G:$G,$Q$15,BASE_DATA!$A:$A,INDEX(PARAMS!$D$2:$D$5,MATCH($F$3,PARAMS!$C$2:$C$5,0)))),IF($K$3="Par minute jouée",IFERROR(IF($C$3="Total (tous matchs)",SUMIFS(BASE_DATA!$V:$V,BASE_DATA!$G:$G,$Q$15),SUMIFS(BASE_DATA!$V:$V,BASE_DATA!$G:$G,$Q$15,BASE_DATA!$A:$A,INDEX(PARAMS!$D$2:$D$5,MATCH($F$3,PARAMS!$C$2:$C$5,0))))/IF($C$3="Total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matchs)",SUMIFS(BASE_DATA!$V:$V,BASE_DATA!$G:$G,$Q$15),SUMIFS(BASE_DATA!$V:$V,BASE_DATA!$G:$G,$Q$15,BASE_DATA!$A:$A,INDEX(PARAMS!$D$2:$D$5,MATCH($F$3,PARAMS!$C$2:$C$5,0))))/IF($C$3="Total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2</v>
      </c>
      <c r="U15" s="57" t="n">
        <f aca="false">IF($K$3="Stats brutes",IF($C$3="Total (tous matchs)",SUMIFS(BASE_DATA!$W:$W,BASE_DATA!$G:$G,$Q$15),SUMIFS(BASE_DATA!$W:$W,BASE_DATA!$G:$G,$Q$15,BASE_DATA!$A:$A,INDEX(PARAMS!$D$2:$D$5,MATCH($F$3,PARAMS!$C$2:$C$5,0)))),IF($K$3="Par minute jouée",IFERROR(IF($C$3="Total (tous matchs)",SUMIFS(BASE_DATA!$W:$W,BASE_DATA!$G:$G,$Q$15),SUMIFS(BASE_DATA!$W:$W,BASE_DATA!$G:$G,$Q$15,BASE_DATA!$A:$A,INDEX(PARAMS!$D$2:$D$5,MATCH($F$3,PARAMS!$C$2:$C$5,0))))/IF($C$3="Total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matchs)",SUMIFS(BASE_DATA!$W:$W,BASE_DATA!$G:$G,$Q$15),SUMIFS(BASE_DATA!$W:$W,BASE_DATA!$G:$G,$Q$15,BASE_DATA!$A:$A,INDEX(PARAMS!$D$2:$D$5,MATCH($F$3,PARAMS!$C$2:$C$5,0))))/IF($C$3="Total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1</v>
      </c>
      <c r="V15" s="57" t="n">
        <f aca="false">IF($K$3="Stats brutes",IF($C$3="Total (tous matchs)",SUMIFS(BASE_DATA!$AN:$AN,BASE_DATA!$G:$G,$Q$15),SUMIFS(BASE_DATA!$AN:$AN,BASE_DATA!$G:$G,$Q$15,BASE_DATA!$A:$A,INDEX(PARAMS!$D$2:$D$5,MATCH($F$3,PARAMS!$C$2:$C$5,0)))),IF($K$3="Par minute jouée",IFERROR(IF($C$3="Total (tous matchs)",SUMIFS(BASE_DATA!$AN:$AN,BASE_DATA!$G:$G,$Q$15),SUMIFS(BASE_DATA!$AN:$AN,BASE_DATA!$G:$G,$Q$15,BASE_DATA!$A:$A,INDEX(PARAMS!$D$2:$D$5,MATCH($F$3,PARAMS!$C$2:$C$5,0))))/IF($C$3="Total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matchs)",SUMIFS(BASE_DATA!$AN:$AN,BASE_DATA!$G:$G,$Q$15),SUMIFS(BASE_DATA!$AN:$AN,BASE_DATA!$G:$G,$Q$15,BASE_DATA!$A:$A,INDEX(PARAMS!$D$2:$D$5,MATCH($F$3,PARAMS!$C$2:$C$5,0))))/IF($C$3="Total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W15" s="57" t="n">
        <f aca="false">IF($K$3="Stats brutes",IF($C$3="Total (tous matchs)",SUMIFS(BASE_DATA!$AO:$AO,BASE_DATA!$G:$G,$Q$15),SUMIFS(BASE_DATA!$AO:$AO,BASE_DATA!$G:$G,$Q$15,BASE_DATA!$A:$A,INDEX(PARAMS!$D$2:$D$5,MATCH($F$3,PARAMS!$C$2:$C$5,0)))),IF($K$3="Par minute jouée",IFERROR(IF($C$3="Total (tous matchs)",SUMIFS(BASE_DATA!$AO:$AO,BASE_DATA!$G:$G,$Q$15),SUMIFS(BASE_DATA!$AO:$AO,BASE_DATA!$G:$G,$Q$15,BASE_DATA!$A:$A,INDEX(PARAMS!$D$2:$D$5,MATCH($F$3,PARAMS!$C$2:$C$5,0))))/IF($C$3="Total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matchs)",SUMIFS(BASE_DATA!$AO:$AO,BASE_DATA!$G:$G,$Q$15),SUMIFS(BASE_DATA!$AO:$AO,BASE_DATA!$G:$G,$Q$15,BASE_DATA!$A:$A,INDEX(PARAMS!$D$2:$D$5,MATCH($F$3,PARAMS!$C$2:$C$5,0))))/IF($C$3="Total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3</v>
      </c>
      <c r="X15" s="57" t="n">
        <f aca="false">IF($K$3="Stats brutes",IF($C$3="Total (tous matchs)",SUMIFS(BASE_DATA!$AA:$AA,BASE_DATA!$G:$G,$Q$15),SUMIFS(BASE_DATA!$AA:$AA,BASE_DATA!$G:$G,$Q$15,BASE_DATA!$A:$A,INDEX(PARAMS!$D$2:$D$5,MATCH($F$3,PARAMS!$C$2:$C$5,0)))),IF($K$3="Par minute jouée",IFERROR(IF($C$3="Total (tous matchs)",SUMIFS(BASE_DATA!$AA:$AA,BASE_DATA!$G:$G,$Q$15),SUMIFS(BASE_DATA!$AA:$AA,BASE_DATA!$G:$G,$Q$15,BASE_DATA!$A:$A,INDEX(PARAMS!$D$2:$D$5,MATCH($F$3,PARAMS!$C$2:$C$5,0))))/IF($C$3="Total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matchs)",SUMIFS(BASE_DATA!$AA:$AA,BASE_DATA!$G:$G,$Q$15),SUMIFS(BASE_DATA!$AA:$AA,BASE_DATA!$G:$G,$Q$15,BASE_DATA!$A:$A,INDEX(PARAMS!$D$2:$D$5,MATCH($F$3,PARAMS!$C$2:$C$5,0))))/IF($C$3="Total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3</v>
      </c>
      <c r="Y15" s="57" t="n">
        <f aca="false">IF($K$3="Stats brutes",IF($C$3="Total (tous matchs)",SUMIFS(BASE_DATA!$AH:$AH,BASE_DATA!$G:$G,$Q$15),SUMIFS(BASE_DATA!$AH:$AH,BASE_DATA!$G:$G,$Q$15,BASE_DATA!$A:$A,INDEX(PARAMS!$D$2:$D$5,MATCH($F$3,PARAMS!$C$2:$C$5,0)))),IF($K$3="Par minute jouée",IFERROR(IF($C$3="Total (tous matchs)",SUMIFS(BASE_DATA!$AH:$AH,BASE_DATA!$G:$G,$Q$15),SUMIFS(BASE_DATA!$AH:$AH,BASE_DATA!$G:$G,$Q$15,BASE_DATA!$A:$A,INDEX(PARAMS!$D$2:$D$5,MATCH($F$3,PARAMS!$C$2:$C$5,0))))/IF($C$3="Total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matchs)",SUMIFS(BASE_DATA!$AH:$AH,BASE_DATA!$G:$G,$Q$15),SUMIFS(BASE_DATA!$AH:$AH,BASE_DATA!$G:$G,$Q$15,BASE_DATA!$A:$A,INDEX(PARAMS!$D$2:$D$5,MATCH($F$3,PARAMS!$C$2:$C$5,0))))/IF($C$3="Total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Z15" s="57" t="n">
        <f aca="false">IF($K$3="Stats brutes",IF($C$3="Total (tous matchs)",SUMIFS(BASE_DATA!$AI:$AI,BASE_DATA!$G:$G,$Q$15),SUMIFS(BASE_DATA!$AI:$AI,BASE_DATA!$G:$G,$Q$15,BASE_DATA!$A:$A,INDEX(PARAMS!$D$2:$D$5,MATCH($F$3,PARAMS!$C$2:$C$5,0)))),IF($K$3="Par minute jouée",IFERROR(IF($C$3="Total (tous matchs)",SUMIFS(BASE_DATA!$AI:$AI,BASE_DATA!$G:$G,$Q$15),SUMIFS(BASE_DATA!$AI:$AI,BASE_DATA!$G:$G,$Q$15,BASE_DATA!$A:$A,INDEX(PARAMS!$D$2:$D$5,MATCH($F$3,PARAMS!$C$2:$C$5,0))))/IF($C$3="Total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matchs)",SUMIFS(BASE_DATA!$AI:$AI,BASE_DATA!$G:$G,$Q$15),SUMIFS(BASE_DATA!$AI:$AI,BASE_DATA!$G:$G,$Q$15,BASE_DATA!$A:$A,INDEX(PARAMS!$D$2:$D$5,MATCH($F$3,PARAMS!$C$2:$C$5,0))))/IF($C$3="Total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AA15" s="57" t="n">
        <f aca="false">IF($K$3="Stats brutes",IF($C$3="Total (tous matchs)",SUMIFS(BASE_DATA!$AJ:$AJ,BASE_DATA!$G:$G,$Q$15),SUMIFS(BASE_DATA!$AJ:$AJ,BASE_DATA!$G:$G,$Q$15,BASE_DATA!$A:$A,INDEX(PARAMS!$D$2:$D$5,MATCH($F$3,PARAMS!$C$2:$C$5,0)))),IF($K$3="Par minute jouée",IFERROR(IF($C$3="Total (tous matchs)",SUMIFS(BASE_DATA!$AJ:$AJ,BASE_DATA!$G:$G,$Q$15),SUMIFS(BASE_DATA!$AJ:$AJ,BASE_DATA!$G:$G,$Q$15,BASE_DATA!$A:$A,INDEX(PARAMS!$D$2:$D$5,MATCH($F$3,PARAMS!$C$2:$C$5,0))))/IF($C$3="Total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matchs)",SUMIFS(BASE_DATA!$AJ:$AJ,BASE_DATA!$G:$G,$Q$15),SUMIFS(BASE_DATA!$AJ:$AJ,BASE_DATA!$G:$G,$Q$15,BASE_DATA!$A:$A,INDEX(PARAMS!$D$2:$D$5,MATCH($F$3,PARAMS!$C$2:$C$5,0))))/IF($C$3="Total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AB15" s="57" t="n">
        <f aca="false">IF($K$3="Stats brutes",IF($C$3="Total (tous matchs)",SUMIFS(BASE_DATA!$AK:$AK,BASE_DATA!$G:$G,$Q$15),SUMIFS(BASE_DATA!$AK:$AK,BASE_DATA!$G:$G,$Q$15,BASE_DATA!$A:$A,INDEX(PARAMS!$D$2:$D$5,MATCH($F$3,PARAMS!$C$2:$C$5,0)))),IF($K$3="Par minute jouée",IFERROR(IF($C$3="Total (tous matchs)",SUMIFS(BASE_DATA!$AK:$AK,BASE_DATA!$G:$G,$Q$15),SUMIFS(BASE_DATA!$AK:$AK,BASE_DATA!$G:$G,$Q$15,BASE_DATA!$A:$A,INDEX(PARAMS!$D$2:$D$5,MATCH($F$3,PARAMS!$C$2:$C$5,0))))/IF($C$3="Total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matchs)",SUMIFS(BASE_DATA!$R:$R,BASE_DATA!$G:$G,$Q$15),SUMIFS(BASE_DATA!$R:$R,BASE_DATA!$G:$G,$Q$15,BASE_DATA!$A:$A,INDEX(PARAMS!$D$2:$D$5,MATCH($F$3,PARAMS!$C$2:$C$5,0)))),0),IFERROR(IF($C$3="Total (tous matchs)",SUMIFS(BASE_DATA!$AK:$AK,BASE_DATA!$G:$G,$Q$15),SUMIFS(BASE_DATA!$AK:$AK,BASE_DATA!$G:$G,$Q$15,BASE_DATA!$A:$A,INDEX(PARAMS!$D$2:$D$5,MATCH($F$3,PARAMS!$C$2:$C$5,0))))/IF($C$3="Total (tous matchs)",SUMIFS(BASE_DATA!$R:$R,BASE_DATA!$G:$G,$Q$15),SUMIFS(BASE_DATA!$R:$R,BASE_DATA!$G:$G,$Q$15,BASE_DATA!$A:$A,INDEX(PARAMS!$D$2:$D$5,MATCH($F$3,PARAMS!$C$2:$C$5,0))))*40,0)))</f>
        <v>0</v>
      </c>
      <c r="AC15" s="58" t="n">
        <f aca="false">IF($C$3="Total (tous matchs)",SUMIFS(BASE_DATA!$R:$R,BASE_DATA!$G:$G,$Q$15),SUMIFS(BASE_DATA!$R:$R,BASE_DATA!$G:$G,$Q$15,BASE_DATA!$A:$A,INDEX(PARAMS!$D$2:$D$5,MATCH($F$3,PARAMS!$C$2:$C$5,0))))</f>
        <v>14</v>
      </c>
      <c r="AD15" s="59" t="n">
        <f aca="false">IF($C$3="Total (tous matchs)",COUNTIFS(BASE_DATA!$G:$G,$Q$15),COUNTIFS(BASE_DATA!$G:$G,$Q$15,BASE_DATA!$A:$A,INDEX(PARAMS!$D$2:$D$5,MATCH($F$3,PARAMS!$C$2:$C$5,0))))</f>
        <v>1</v>
      </c>
      <c r="AF15" s="15" t="n">
        <f aca="false">IFERROR(C15-F15,"-")</f>
        <v>1</v>
      </c>
    </row>
    <row r="16" customFormat="false" ht="15" hidden="false" customHeight="true" outlineLevel="0" collapsed="false">
      <c r="B16" s="74" t="s">
        <v>147</v>
      </c>
      <c r="C16" s="75" t="n">
        <f aca="false">IFERROR(VLOOKUP($C$5,$Q$1:$AD$20,10,FALSE()),"-")</f>
        <v>9</v>
      </c>
      <c r="E16" s="74" t="s">
        <v>147</v>
      </c>
      <c r="F16" s="75" t="n">
        <f aca="false">IFERROR(VLOOKUP($F$5,$Q$1:$AD$20,10,FALSE()),"-")</f>
        <v>4</v>
      </c>
      <c r="H16" s="74" t="s">
        <v>147</v>
      </c>
      <c r="I16" s="75" t="n">
        <f aca="false">IFERROR(VLOOKUP($I$5,$Q$1:$AD$20,10,FALSE()),"-")</f>
        <v>1</v>
      </c>
      <c r="K16" s="73"/>
      <c r="L16" s="73"/>
      <c r="Q16" s="56" t="s">
        <v>122</v>
      </c>
      <c r="R16" s="57" t="n">
        <f aca="false">IF($K$3="Stats brutes",IF($C$3="Total (tous matchs)",SUMIFS(BASE_DATA!$T:$T,BASE_DATA!$G:$G,$Q$16),SUMIFS(BASE_DATA!$T:$T,BASE_DATA!$G:$G,$Q$16,BASE_DATA!$A:$A,INDEX(PARAMS!$D$2:$D$5,MATCH($F$3,PARAMS!$C$2:$C$5,0)))),IF($K$3="Par minute jouée",IFERROR(IF($C$3="Total (tous matchs)",SUMIFS(BASE_DATA!$T:$T,BASE_DATA!$G:$G,$Q$16),SUMIFS(BASE_DATA!$T:$T,BASE_DATA!$G:$G,$Q$16,BASE_DATA!$A:$A,INDEX(PARAMS!$D$2:$D$5,MATCH($F$3,PARAMS!$C$2:$C$5,0))))/IF($C$3="Total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matchs)",SUMIFS(BASE_DATA!$T:$T,BASE_DATA!$G:$G,$Q$16),SUMIFS(BASE_DATA!$T:$T,BASE_DATA!$G:$G,$Q$16,BASE_DATA!$A:$A,INDEX(PARAMS!$D$2:$D$5,MATCH($F$3,PARAMS!$C$2:$C$5,0))))/IF($C$3="Total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S16" s="57" t="n">
        <f aca="false">IF($K$3="Stats brutes",IF($C$3="Total (tous matchs)",SUMIFS(BASE_DATA!$U:$U,BASE_DATA!$G:$G,$Q$16),SUMIFS(BASE_DATA!$U:$U,BASE_DATA!$G:$G,$Q$16,BASE_DATA!$A:$A,INDEX(PARAMS!$D$2:$D$5,MATCH($F$3,PARAMS!$C$2:$C$5,0)))),IF($K$3="Par minute jouée",IFERROR(IF($C$3="Total (tous matchs)",SUMIFS(BASE_DATA!$U:$U,BASE_DATA!$G:$G,$Q$16),SUMIFS(BASE_DATA!$U:$U,BASE_DATA!$G:$G,$Q$16,BASE_DATA!$A:$A,INDEX(PARAMS!$D$2:$D$5,MATCH($F$3,PARAMS!$C$2:$C$5,0))))/IF($C$3="Total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matchs)",SUMIFS(BASE_DATA!$U:$U,BASE_DATA!$G:$G,$Q$16),SUMIFS(BASE_DATA!$U:$U,BASE_DATA!$G:$G,$Q$16,BASE_DATA!$A:$A,INDEX(PARAMS!$D$2:$D$5,MATCH($F$3,PARAMS!$C$2:$C$5,0))))/IF($C$3="Total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T16" s="57" t="n">
        <f aca="false">IF($K$3="Stats brutes",IF($C$3="Total (tous matchs)",SUMIFS(BASE_DATA!$V:$V,BASE_DATA!$G:$G,$Q$16),SUMIFS(BASE_DATA!$V:$V,BASE_DATA!$G:$G,$Q$16,BASE_DATA!$A:$A,INDEX(PARAMS!$D$2:$D$5,MATCH($F$3,PARAMS!$C$2:$C$5,0)))),IF($K$3="Par minute jouée",IFERROR(IF($C$3="Total (tous matchs)",SUMIFS(BASE_DATA!$V:$V,BASE_DATA!$G:$G,$Q$16),SUMIFS(BASE_DATA!$V:$V,BASE_DATA!$G:$G,$Q$16,BASE_DATA!$A:$A,INDEX(PARAMS!$D$2:$D$5,MATCH($F$3,PARAMS!$C$2:$C$5,0))))/IF($C$3="Total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matchs)",SUMIFS(BASE_DATA!$V:$V,BASE_DATA!$G:$G,$Q$16),SUMIFS(BASE_DATA!$V:$V,BASE_DATA!$G:$G,$Q$16,BASE_DATA!$A:$A,INDEX(PARAMS!$D$2:$D$5,MATCH($F$3,PARAMS!$C$2:$C$5,0))))/IF($C$3="Total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U16" s="57" t="n">
        <f aca="false">IF($K$3="Stats brutes",IF($C$3="Total (tous matchs)",SUMIFS(BASE_DATA!$W:$W,BASE_DATA!$G:$G,$Q$16),SUMIFS(BASE_DATA!$W:$W,BASE_DATA!$G:$G,$Q$16,BASE_DATA!$A:$A,INDEX(PARAMS!$D$2:$D$5,MATCH($F$3,PARAMS!$C$2:$C$5,0)))),IF($K$3="Par minute jouée",IFERROR(IF($C$3="Total (tous matchs)",SUMIFS(BASE_DATA!$W:$W,BASE_DATA!$G:$G,$Q$16),SUMIFS(BASE_DATA!$W:$W,BASE_DATA!$G:$G,$Q$16,BASE_DATA!$A:$A,INDEX(PARAMS!$D$2:$D$5,MATCH($F$3,PARAMS!$C$2:$C$5,0))))/IF($C$3="Total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matchs)",SUMIFS(BASE_DATA!$W:$W,BASE_DATA!$G:$G,$Q$16),SUMIFS(BASE_DATA!$W:$W,BASE_DATA!$G:$G,$Q$16,BASE_DATA!$A:$A,INDEX(PARAMS!$D$2:$D$5,MATCH($F$3,PARAMS!$C$2:$C$5,0))))/IF($C$3="Total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V16" s="57" t="n">
        <f aca="false">IF($K$3="Stats brutes",IF($C$3="Total (tous matchs)",SUMIFS(BASE_DATA!$AN:$AN,BASE_DATA!$G:$G,$Q$16),SUMIFS(BASE_DATA!$AN:$AN,BASE_DATA!$G:$G,$Q$16,BASE_DATA!$A:$A,INDEX(PARAMS!$D$2:$D$5,MATCH($F$3,PARAMS!$C$2:$C$5,0)))),IF($K$3="Par minute jouée",IFERROR(IF($C$3="Total (tous matchs)",SUMIFS(BASE_DATA!$AN:$AN,BASE_DATA!$G:$G,$Q$16),SUMIFS(BASE_DATA!$AN:$AN,BASE_DATA!$G:$G,$Q$16,BASE_DATA!$A:$A,INDEX(PARAMS!$D$2:$D$5,MATCH($F$3,PARAMS!$C$2:$C$5,0))))/IF($C$3="Total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matchs)",SUMIFS(BASE_DATA!$AN:$AN,BASE_DATA!$G:$G,$Q$16),SUMIFS(BASE_DATA!$AN:$AN,BASE_DATA!$G:$G,$Q$16,BASE_DATA!$A:$A,INDEX(PARAMS!$D$2:$D$5,MATCH($F$3,PARAMS!$C$2:$C$5,0))))/IF($C$3="Total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W16" s="57" t="n">
        <f aca="false">IF($K$3="Stats brutes",IF($C$3="Total (tous matchs)",SUMIFS(BASE_DATA!$AO:$AO,BASE_DATA!$G:$G,$Q$16),SUMIFS(BASE_DATA!$AO:$AO,BASE_DATA!$G:$G,$Q$16,BASE_DATA!$A:$A,INDEX(PARAMS!$D$2:$D$5,MATCH($F$3,PARAMS!$C$2:$C$5,0)))),IF($K$3="Par minute jouée",IFERROR(IF($C$3="Total (tous matchs)",SUMIFS(BASE_DATA!$AO:$AO,BASE_DATA!$G:$G,$Q$16),SUMIFS(BASE_DATA!$AO:$AO,BASE_DATA!$G:$G,$Q$16,BASE_DATA!$A:$A,INDEX(PARAMS!$D$2:$D$5,MATCH($F$3,PARAMS!$C$2:$C$5,0))))/IF($C$3="Total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matchs)",SUMIFS(BASE_DATA!$AO:$AO,BASE_DATA!$G:$G,$Q$16),SUMIFS(BASE_DATA!$AO:$AO,BASE_DATA!$G:$G,$Q$16,BASE_DATA!$A:$A,INDEX(PARAMS!$D$2:$D$5,MATCH($F$3,PARAMS!$C$2:$C$5,0))))/IF($C$3="Total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X16" s="57" t="n">
        <f aca="false">IF($K$3="Stats brutes",IF($C$3="Total (tous matchs)",SUMIFS(BASE_DATA!$AA:$AA,BASE_DATA!$G:$G,$Q$16),SUMIFS(BASE_DATA!$AA:$AA,BASE_DATA!$G:$G,$Q$16,BASE_DATA!$A:$A,INDEX(PARAMS!$D$2:$D$5,MATCH($F$3,PARAMS!$C$2:$C$5,0)))),IF($K$3="Par minute jouée",IFERROR(IF($C$3="Total (tous matchs)",SUMIFS(BASE_DATA!$AA:$AA,BASE_DATA!$G:$G,$Q$16),SUMIFS(BASE_DATA!$AA:$AA,BASE_DATA!$G:$G,$Q$16,BASE_DATA!$A:$A,INDEX(PARAMS!$D$2:$D$5,MATCH($F$3,PARAMS!$C$2:$C$5,0))))/IF($C$3="Total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matchs)",SUMIFS(BASE_DATA!$AA:$AA,BASE_DATA!$G:$G,$Q$16),SUMIFS(BASE_DATA!$AA:$AA,BASE_DATA!$G:$G,$Q$16,BASE_DATA!$A:$A,INDEX(PARAMS!$D$2:$D$5,MATCH($F$3,PARAMS!$C$2:$C$5,0))))/IF($C$3="Total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Y16" s="57" t="n">
        <f aca="false">IF($K$3="Stats brutes",IF($C$3="Total (tous matchs)",SUMIFS(BASE_DATA!$AH:$AH,BASE_DATA!$G:$G,$Q$16),SUMIFS(BASE_DATA!$AH:$AH,BASE_DATA!$G:$G,$Q$16,BASE_DATA!$A:$A,INDEX(PARAMS!$D$2:$D$5,MATCH($F$3,PARAMS!$C$2:$C$5,0)))),IF($K$3="Par minute jouée",IFERROR(IF($C$3="Total (tous matchs)",SUMIFS(BASE_DATA!$AH:$AH,BASE_DATA!$G:$G,$Q$16),SUMIFS(BASE_DATA!$AH:$AH,BASE_DATA!$G:$G,$Q$16,BASE_DATA!$A:$A,INDEX(PARAMS!$D$2:$D$5,MATCH($F$3,PARAMS!$C$2:$C$5,0))))/IF($C$3="Total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matchs)",SUMIFS(BASE_DATA!$AH:$AH,BASE_DATA!$G:$G,$Q$16),SUMIFS(BASE_DATA!$AH:$AH,BASE_DATA!$G:$G,$Q$16,BASE_DATA!$A:$A,INDEX(PARAMS!$D$2:$D$5,MATCH($F$3,PARAMS!$C$2:$C$5,0))))/IF($C$3="Total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Z16" s="57" t="n">
        <f aca="false">IF($K$3="Stats brutes",IF($C$3="Total (tous matchs)",SUMIFS(BASE_DATA!$AI:$AI,BASE_DATA!$G:$G,$Q$16),SUMIFS(BASE_DATA!$AI:$AI,BASE_DATA!$G:$G,$Q$16,BASE_DATA!$A:$A,INDEX(PARAMS!$D$2:$D$5,MATCH($F$3,PARAMS!$C$2:$C$5,0)))),IF($K$3="Par minute jouée",IFERROR(IF($C$3="Total (tous matchs)",SUMIFS(BASE_DATA!$AI:$AI,BASE_DATA!$G:$G,$Q$16),SUMIFS(BASE_DATA!$AI:$AI,BASE_DATA!$G:$G,$Q$16,BASE_DATA!$A:$A,INDEX(PARAMS!$D$2:$D$5,MATCH($F$3,PARAMS!$C$2:$C$5,0))))/IF($C$3="Total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matchs)",SUMIFS(BASE_DATA!$AI:$AI,BASE_DATA!$G:$G,$Q$16),SUMIFS(BASE_DATA!$AI:$AI,BASE_DATA!$G:$G,$Q$16,BASE_DATA!$A:$A,INDEX(PARAMS!$D$2:$D$5,MATCH($F$3,PARAMS!$C$2:$C$5,0))))/IF($C$3="Total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AA16" s="57" t="n">
        <f aca="false">IF($K$3="Stats brutes",IF($C$3="Total (tous matchs)",SUMIFS(BASE_DATA!$AJ:$AJ,BASE_DATA!$G:$G,$Q$16),SUMIFS(BASE_DATA!$AJ:$AJ,BASE_DATA!$G:$G,$Q$16,BASE_DATA!$A:$A,INDEX(PARAMS!$D$2:$D$5,MATCH($F$3,PARAMS!$C$2:$C$5,0)))),IF($K$3="Par minute jouée",IFERROR(IF($C$3="Total (tous matchs)",SUMIFS(BASE_DATA!$AJ:$AJ,BASE_DATA!$G:$G,$Q$16),SUMIFS(BASE_DATA!$AJ:$AJ,BASE_DATA!$G:$G,$Q$16,BASE_DATA!$A:$A,INDEX(PARAMS!$D$2:$D$5,MATCH($F$3,PARAMS!$C$2:$C$5,0))))/IF($C$3="Total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matchs)",SUMIFS(BASE_DATA!$AJ:$AJ,BASE_DATA!$G:$G,$Q$16),SUMIFS(BASE_DATA!$AJ:$AJ,BASE_DATA!$G:$G,$Q$16,BASE_DATA!$A:$A,INDEX(PARAMS!$D$2:$D$5,MATCH($F$3,PARAMS!$C$2:$C$5,0))))/IF($C$3="Total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AB16" s="57" t="n">
        <f aca="false">IF($K$3="Stats brutes",IF($C$3="Total (tous matchs)",SUMIFS(BASE_DATA!$AK:$AK,BASE_DATA!$G:$G,$Q$16),SUMIFS(BASE_DATA!$AK:$AK,BASE_DATA!$G:$G,$Q$16,BASE_DATA!$A:$A,INDEX(PARAMS!$D$2:$D$5,MATCH($F$3,PARAMS!$C$2:$C$5,0)))),IF($K$3="Par minute jouée",IFERROR(IF($C$3="Total (tous matchs)",SUMIFS(BASE_DATA!$AK:$AK,BASE_DATA!$G:$G,$Q$16),SUMIFS(BASE_DATA!$AK:$AK,BASE_DATA!$G:$G,$Q$16,BASE_DATA!$A:$A,INDEX(PARAMS!$D$2:$D$5,MATCH($F$3,PARAMS!$C$2:$C$5,0))))/IF($C$3="Total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matchs)",SUMIFS(BASE_DATA!$R:$R,BASE_DATA!$G:$G,$Q$16),SUMIFS(BASE_DATA!$R:$R,BASE_DATA!$G:$G,$Q$16,BASE_DATA!$A:$A,INDEX(PARAMS!$D$2:$D$5,MATCH($F$3,PARAMS!$C$2:$C$5,0)))),0),IFERROR(IF($C$3="Total (tous matchs)",SUMIFS(BASE_DATA!$AK:$AK,BASE_DATA!$G:$G,$Q$16),SUMIFS(BASE_DATA!$AK:$AK,BASE_DATA!$G:$G,$Q$16,BASE_DATA!$A:$A,INDEX(PARAMS!$D$2:$D$5,MATCH($F$3,PARAMS!$C$2:$C$5,0))))/IF($C$3="Total (tous matchs)",SUMIFS(BASE_DATA!$R:$R,BASE_DATA!$G:$G,$Q$16),SUMIFS(BASE_DATA!$R:$R,BASE_DATA!$G:$G,$Q$16,BASE_DATA!$A:$A,INDEX(PARAMS!$D$2:$D$5,MATCH($F$3,PARAMS!$C$2:$C$5,0))))*40,0)))</f>
        <v>0</v>
      </c>
      <c r="AC16" s="58" t="n">
        <f aca="false">IF($C$3="Total (tous matchs)",SUMIFS(BASE_DATA!$R:$R,BASE_DATA!$G:$G,$Q$16),SUMIFS(BASE_DATA!$R:$R,BASE_DATA!$G:$G,$Q$16,BASE_DATA!$A:$A,INDEX(PARAMS!$D$2:$D$5,MATCH($F$3,PARAMS!$C$2:$C$5,0))))</f>
        <v>0</v>
      </c>
      <c r="AD16" s="59" t="n">
        <f aca="false">IF($C$3="Total (tous matchs)",COUNTIFS(BASE_DATA!$G:$G,$Q$16),COUNTIFS(BASE_DATA!$G:$G,$Q$16,BASE_DATA!$A:$A,INDEX(PARAMS!$D$2:$D$5,MATCH($F$3,PARAMS!$C$2:$C$5,0))))</f>
        <v>0</v>
      </c>
      <c r="AF16" s="13" t="n">
        <f aca="false">IFERROR(C16-F16,"-")</f>
        <v>5</v>
      </c>
    </row>
    <row r="17" customFormat="false" ht="15" hidden="false" customHeight="true" outlineLevel="0" collapsed="false">
      <c r="B17" s="76" t="s">
        <v>148</v>
      </c>
      <c r="C17" s="77" t="n">
        <f aca="false">IFERROR(VLOOKUP($C$5,$Q$1:$AD$20,11,FALSE()),"-")</f>
        <v>1</v>
      </c>
      <c r="E17" s="76" t="s">
        <v>148</v>
      </c>
      <c r="F17" s="77" t="n">
        <f aca="false">IFERROR(VLOOKUP($F$5,$Q$1:$AD$20,11,FALSE()),"-")</f>
        <v>1</v>
      </c>
      <c r="H17" s="76" t="s">
        <v>148</v>
      </c>
      <c r="I17" s="75" t="n">
        <f aca="false">IFERROR(VLOOKUP($I$5,$Q$1:$AD$20,11,FALSE()),"-")</f>
        <v>0</v>
      </c>
      <c r="K17" s="73"/>
      <c r="L17" s="73"/>
      <c r="Q17" s="56" t="s">
        <v>123</v>
      </c>
      <c r="R17" s="57" t="n">
        <f aca="false">IF($K$3="Stats brutes",IF($C$3="Total (tous matchs)",SUMIFS(BASE_DATA!$T:$T,BASE_DATA!$G:$G,$Q$17),SUMIFS(BASE_DATA!$T:$T,BASE_DATA!$G:$G,$Q$17,BASE_DATA!$A:$A,INDEX(PARAMS!$D$2:$D$5,MATCH($F$3,PARAMS!$C$2:$C$5,0)))),IF($K$3="Par minute jouée",IFERROR(IF($C$3="Total (tous matchs)",SUMIFS(BASE_DATA!$T:$T,BASE_DATA!$G:$G,$Q$17),SUMIFS(BASE_DATA!$T:$T,BASE_DATA!$G:$G,$Q$17,BASE_DATA!$A:$A,INDEX(PARAMS!$D$2:$D$5,MATCH($F$3,PARAMS!$C$2:$C$5,0))))/IF($C$3="Total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matchs)",SUMIFS(BASE_DATA!$T:$T,BASE_DATA!$G:$G,$Q$17),SUMIFS(BASE_DATA!$T:$T,BASE_DATA!$G:$G,$Q$17,BASE_DATA!$A:$A,INDEX(PARAMS!$D$2:$D$5,MATCH($F$3,PARAMS!$C$2:$C$5,0))))/IF($C$3="Total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S17" s="57" t="n">
        <f aca="false">IF($K$3="Stats brutes",IF($C$3="Total (tous matchs)",SUMIFS(BASE_DATA!$U:$U,BASE_DATA!$G:$G,$Q$17),SUMIFS(BASE_DATA!$U:$U,BASE_DATA!$G:$G,$Q$17,BASE_DATA!$A:$A,INDEX(PARAMS!$D$2:$D$5,MATCH($F$3,PARAMS!$C$2:$C$5,0)))),IF($K$3="Par minute jouée",IFERROR(IF($C$3="Total (tous matchs)",SUMIFS(BASE_DATA!$U:$U,BASE_DATA!$G:$G,$Q$17),SUMIFS(BASE_DATA!$U:$U,BASE_DATA!$G:$G,$Q$17,BASE_DATA!$A:$A,INDEX(PARAMS!$D$2:$D$5,MATCH($F$3,PARAMS!$C$2:$C$5,0))))/IF($C$3="Total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matchs)",SUMIFS(BASE_DATA!$U:$U,BASE_DATA!$G:$G,$Q$17),SUMIFS(BASE_DATA!$U:$U,BASE_DATA!$G:$G,$Q$17,BASE_DATA!$A:$A,INDEX(PARAMS!$D$2:$D$5,MATCH($F$3,PARAMS!$C$2:$C$5,0))))/IF($C$3="Total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T17" s="57" t="n">
        <f aca="false">IF($K$3="Stats brutes",IF($C$3="Total (tous matchs)",SUMIFS(BASE_DATA!$V:$V,BASE_DATA!$G:$G,$Q$17),SUMIFS(BASE_DATA!$V:$V,BASE_DATA!$G:$G,$Q$17,BASE_DATA!$A:$A,INDEX(PARAMS!$D$2:$D$5,MATCH($F$3,PARAMS!$C$2:$C$5,0)))),IF($K$3="Par minute jouée",IFERROR(IF($C$3="Total (tous matchs)",SUMIFS(BASE_DATA!$V:$V,BASE_DATA!$G:$G,$Q$17),SUMIFS(BASE_DATA!$V:$V,BASE_DATA!$G:$G,$Q$17,BASE_DATA!$A:$A,INDEX(PARAMS!$D$2:$D$5,MATCH($F$3,PARAMS!$C$2:$C$5,0))))/IF($C$3="Total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matchs)",SUMIFS(BASE_DATA!$V:$V,BASE_DATA!$G:$G,$Q$17),SUMIFS(BASE_DATA!$V:$V,BASE_DATA!$G:$G,$Q$17,BASE_DATA!$A:$A,INDEX(PARAMS!$D$2:$D$5,MATCH($F$3,PARAMS!$C$2:$C$5,0))))/IF($C$3="Total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U17" s="57" t="n">
        <f aca="false">IF($K$3="Stats brutes",IF($C$3="Total (tous matchs)",SUMIFS(BASE_DATA!$W:$W,BASE_DATA!$G:$G,$Q$17),SUMIFS(BASE_DATA!$W:$W,BASE_DATA!$G:$G,$Q$17,BASE_DATA!$A:$A,INDEX(PARAMS!$D$2:$D$5,MATCH($F$3,PARAMS!$C$2:$C$5,0)))),IF($K$3="Par minute jouée",IFERROR(IF($C$3="Total (tous matchs)",SUMIFS(BASE_DATA!$W:$W,BASE_DATA!$G:$G,$Q$17),SUMIFS(BASE_DATA!$W:$W,BASE_DATA!$G:$G,$Q$17,BASE_DATA!$A:$A,INDEX(PARAMS!$D$2:$D$5,MATCH($F$3,PARAMS!$C$2:$C$5,0))))/IF($C$3="Total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matchs)",SUMIFS(BASE_DATA!$W:$W,BASE_DATA!$G:$G,$Q$17),SUMIFS(BASE_DATA!$W:$W,BASE_DATA!$G:$G,$Q$17,BASE_DATA!$A:$A,INDEX(PARAMS!$D$2:$D$5,MATCH($F$3,PARAMS!$C$2:$C$5,0))))/IF($C$3="Total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V17" s="57" t="n">
        <f aca="false">IF($K$3="Stats brutes",IF($C$3="Total (tous matchs)",SUMIFS(BASE_DATA!$AN:$AN,BASE_DATA!$G:$G,$Q$17),SUMIFS(BASE_DATA!$AN:$AN,BASE_DATA!$G:$G,$Q$17,BASE_DATA!$A:$A,INDEX(PARAMS!$D$2:$D$5,MATCH($F$3,PARAMS!$C$2:$C$5,0)))),IF($K$3="Par minute jouée",IFERROR(IF($C$3="Total (tous matchs)",SUMIFS(BASE_DATA!$AN:$AN,BASE_DATA!$G:$G,$Q$17),SUMIFS(BASE_DATA!$AN:$AN,BASE_DATA!$G:$G,$Q$17,BASE_DATA!$A:$A,INDEX(PARAMS!$D$2:$D$5,MATCH($F$3,PARAMS!$C$2:$C$5,0))))/IF($C$3="Total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matchs)",SUMIFS(BASE_DATA!$AN:$AN,BASE_DATA!$G:$G,$Q$17),SUMIFS(BASE_DATA!$AN:$AN,BASE_DATA!$G:$G,$Q$17,BASE_DATA!$A:$A,INDEX(PARAMS!$D$2:$D$5,MATCH($F$3,PARAMS!$C$2:$C$5,0))))/IF($C$3="Total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W17" s="57" t="n">
        <f aca="false">IF($K$3="Stats brutes",IF($C$3="Total (tous matchs)",SUMIFS(BASE_DATA!$AO:$AO,BASE_DATA!$G:$G,$Q$17),SUMIFS(BASE_DATA!$AO:$AO,BASE_DATA!$G:$G,$Q$17,BASE_DATA!$A:$A,INDEX(PARAMS!$D$2:$D$5,MATCH($F$3,PARAMS!$C$2:$C$5,0)))),IF($K$3="Par minute jouée",IFERROR(IF($C$3="Total (tous matchs)",SUMIFS(BASE_DATA!$AO:$AO,BASE_DATA!$G:$G,$Q$17),SUMIFS(BASE_DATA!$AO:$AO,BASE_DATA!$G:$G,$Q$17,BASE_DATA!$A:$A,INDEX(PARAMS!$D$2:$D$5,MATCH($F$3,PARAMS!$C$2:$C$5,0))))/IF($C$3="Total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matchs)",SUMIFS(BASE_DATA!$AO:$AO,BASE_DATA!$G:$G,$Q$17),SUMIFS(BASE_DATA!$AO:$AO,BASE_DATA!$G:$G,$Q$17,BASE_DATA!$A:$A,INDEX(PARAMS!$D$2:$D$5,MATCH($F$3,PARAMS!$C$2:$C$5,0))))/IF($C$3="Total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X17" s="57" t="n">
        <f aca="false">IF($K$3="Stats brutes",IF($C$3="Total (tous matchs)",SUMIFS(BASE_DATA!$AA:$AA,BASE_DATA!$G:$G,$Q$17),SUMIFS(BASE_DATA!$AA:$AA,BASE_DATA!$G:$G,$Q$17,BASE_DATA!$A:$A,INDEX(PARAMS!$D$2:$D$5,MATCH($F$3,PARAMS!$C$2:$C$5,0)))),IF($K$3="Par minute jouée",IFERROR(IF($C$3="Total (tous matchs)",SUMIFS(BASE_DATA!$AA:$AA,BASE_DATA!$G:$G,$Q$17),SUMIFS(BASE_DATA!$AA:$AA,BASE_DATA!$G:$G,$Q$17,BASE_DATA!$A:$A,INDEX(PARAMS!$D$2:$D$5,MATCH($F$3,PARAMS!$C$2:$C$5,0))))/IF($C$3="Total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matchs)",SUMIFS(BASE_DATA!$AA:$AA,BASE_DATA!$G:$G,$Q$17),SUMIFS(BASE_DATA!$AA:$AA,BASE_DATA!$G:$G,$Q$17,BASE_DATA!$A:$A,INDEX(PARAMS!$D$2:$D$5,MATCH($F$3,PARAMS!$C$2:$C$5,0))))/IF($C$3="Total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Y17" s="57" t="n">
        <f aca="false">IF($K$3="Stats brutes",IF($C$3="Total (tous matchs)",SUMIFS(BASE_DATA!$AH:$AH,BASE_DATA!$G:$G,$Q$17),SUMIFS(BASE_DATA!$AH:$AH,BASE_DATA!$G:$G,$Q$17,BASE_DATA!$A:$A,INDEX(PARAMS!$D$2:$D$5,MATCH($F$3,PARAMS!$C$2:$C$5,0)))),IF($K$3="Par minute jouée",IFERROR(IF($C$3="Total (tous matchs)",SUMIFS(BASE_DATA!$AH:$AH,BASE_DATA!$G:$G,$Q$17),SUMIFS(BASE_DATA!$AH:$AH,BASE_DATA!$G:$G,$Q$17,BASE_DATA!$A:$A,INDEX(PARAMS!$D$2:$D$5,MATCH($F$3,PARAMS!$C$2:$C$5,0))))/IF($C$3="Total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matchs)",SUMIFS(BASE_DATA!$AH:$AH,BASE_DATA!$G:$G,$Q$17),SUMIFS(BASE_DATA!$AH:$AH,BASE_DATA!$G:$G,$Q$17,BASE_DATA!$A:$A,INDEX(PARAMS!$D$2:$D$5,MATCH($F$3,PARAMS!$C$2:$C$5,0))))/IF($C$3="Total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Z17" s="57" t="n">
        <f aca="false">IF($K$3="Stats brutes",IF($C$3="Total (tous matchs)",SUMIFS(BASE_DATA!$AI:$AI,BASE_DATA!$G:$G,$Q$17),SUMIFS(BASE_DATA!$AI:$AI,BASE_DATA!$G:$G,$Q$17,BASE_DATA!$A:$A,INDEX(PARAMS!$D$2:$D$5,MATCH($F$3,PARAMS!$C$2:$C$5,0)))),IF($K$3="Par minute jouée",IFERROR(IF($C$3="Total (tous matchs)",SUMIFS(BASE_DATA!$AI:$AI,BASE_DATA!$G:$G,$Q$17),SUMIFS(BASE_DATA!$AI:$AI,BASE_DATA!$G:$G,$Q$17,BASE_DATA!$A:$A,INDEX(PARAMS!$D$2:$D$5,MATCH($F$3,PARAMS!$C$2:$C$5,0))))/IF($C$3="Total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matchs)",SUMIFS(BASE_DATA!$AI:$AI,BASE_DATA!$G:$G,$Q$17),SUMIFS(BASE_DATA!$AI:$AI,BASE_DATA!$G:$G,$Q$17,BASE_DATA!$A:$A,INDEX(PARAMS!$D$2:$D$5,MATCH($F$3,PARAMS!$C$2:$C$5,0))))/IF($C$3="Total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AA17" s="57" t="n">
        <f aca="false">IF($K$3="Stats brutes",IF($C$3="Total (tous matchs)",SUMIFS(BASE_DATA!$AJ:$AJ,BASE_DATA!$G:$G,$Q$17),SUMIFS(BASE_DATA!$AJ:$AJ,BASE_DATA!$G:$G,$Q$17,BASE_DATA!$A:$A,INDEX(PARAMS!$D$2:$D$5,MATCH($F$3,PARAMS!$C$2:$C$5,0)))),IF($K$3="Par minute jouée",IFERROR(IF($C$3="Total (tous matchs)",SUMIFS(BASE_DATA!$AJ:$AJ,BASE_DATA!$G:$G,$Q$17),SUMIFS(BASE_DATA!$AJ:$AJ,BASE_DATA!$G:$G,$Q$17,BASE_DATA!$A:$A,INDEX(PARAMS!$D$2:$D$5,MATCH($F$3,PARAMS!$C$2:$C$5,0))))/IF($C$3="Total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matchs)",SUMIFS(BASE_DATA!$AJ:$AJ,BASE_DATA!$G:$G,$Q$17),SUMIFS(BASE_DATA!$AJ:$AJ,BASE_DATA!$G:$G,$Q$17,BASE_DATA!$A:$A,INDEX(PARAMS!$D$2:$D$5,MATCH($F$3,PARAMS!$C$2:$C$5,0))))/IF($C$3="Total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AB17" s="57" t="n">
        <f aca="false">IF($K$3="Stats brutes",IF($C$3="Total (tous matchs)",SUMIFS(BASE_DATA!$AK:$AK,BASE_DATA!$G:$G,$Q$17),SUMIFS(BASE_DATA!$AK:$AK,BASE_DATA!$G:$G,$Q$17,BASE_DATA!$A:$A,INDEX(PARAMS!$D$2:$D$5,MATCH($F$3,PARAMS!$C$2:$C$5,0)))),IF($K$3="Par minute jouée",IFERROR(IF($C$3="Total (tous matchs)",SUMIFS(BASE_DATA!$AK:$AK,BASE_DATA!$G:$G,$Q$17),SUMIFS(BASE_DATA!$AK:$AK,BASE_DATA!$G:$G,$Q$17,BASE_DATA!$A:$A,INDEX(PARAMS!$D$2:$D$5,MATCH($F$3,PARAMS!$C$2:$C$5,0))))/IF($C$3="Total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matchs)",SUMIFS(BASE_DATA!$R:$R,BASE_DATA!$G:$G,$Q$17),SUMIFS(BASE_DATA!$R:$R,BASE_DATA!$G:$G,$Q$17,BASE_DATA!$A:$A,INDEX(PARAMS!$D$2:$D$5,MATCH($F$3,PARAMS!$C$2:$C$5,0)))),0),IFERROR(IF($C$3="Total (tous matchs)",SUMIFS(BASE_DATA!$AK:$AK,BASE_DATA!$G:$G,$Q$17),SUMIFS(BASE_DATA!$AK:$AK,BASE_DATA!$G:$G,$Q$17,BASE_DATA!$A:$A,INDEX(PARAMS!$D$2:$D$5,MATCH($F$3,PARAMS!$C$2:$C$5,0))))/IF($C$3="Total (tous matchs)",SUMIFS(BASE_DATA!$R:$R,BASE_DATA!$G:$G,$Q$17),SUMIFS(BASE_DATA!$R:$R,BASE_DATA!$G:$G,$Q$17,BASE_DATA!$A:$A,INDEX(PARAMS!$D$2:$D$5,MATCH($F$3,PARAMS!$C$2:$C$5,0))))*40,0)))</f>
        <v>0</v>
      </c>
      <c r="AC17" s="58" t="n">
        <f aca="false">IF($C$3="Total (tous matchs)",SUMIFS(BASE_DATA!$R:$R,BASE_DATA!$G:$G,$Q$17),SUMIFS(BASE_DATA!$R:$R,BASE_DATA!$G:$G,$Q$17,BASE_DATA!$A:$A,INDEX(PARAMS!$D$2:$D$5,MATCH($F$3,PARAMS!$C$2:$C$5,0))))</f>
        <v>0</v>
      </c>
      <c r="AD17" s="59" t="n">
        <f aca="false">IF($C$3="Total (tous matchs)",COUNTIFS(BASE_DATA!$G:$G,$Q$17),COUNTIFS(BASE_DATA!$G:$G,$Q$17,BASE_DATA!$A:$A,INDEX(PARAMS!$D$2:$D$5,MATCH($F$3,PARAMS!$C$2:$C$5,0))))</f>
        <v>0</v>
      </c>
      <c r="AF17" s="15" t="n">
        <f aca="false">IFERROR(C17-F17,"-")</f>
        <v>0</v>
      </c>
    </row>
    <row r="18" customFormat="false" ht="15" hidden="false" customHeight="true" outlineLevel="0" collapsed="false">
      <c r="B18" s="74" t="s">
        <v>149</v>
      </c>
      <c r="C18" s="75" t="n">
        <f aca="false">IFERROR(VLOOKUP($C$5,$Q$1:$AD$20,12,FALSE()),"-")</f>
        <v>1</v>
      </c>
      <c r="E18" s="74" t="s">
        <v>149</v>
      </c>
      <c r="F18" s="75" t="n">
        <f aca="false">IFERROR(VLOOKUP($F$5,$Q$1:$AD$20,12,FALSE()),"-")</f>
        <v>3</v>
      </c>
      <c r="H18" s="74" t="s">
        <v>149</v>
      </c>
      <c r="I18" s="75" t="n">
        <f aca="false">IFERROR(VLOOKUP($I$5,$Q$1:$AD$20,12,FALSE()),"-")</f>
        <v>0</v>
      </c>
      <c r="K18" s="73"/>
      <c r="L18" s="73"/>
      <c r="Q18" s="56" t="s">
        <v>124</v>
      </c>
      <c r="R18" s="57" t="n">
        <f aca="false">IF($K$3="Stats brutes",IF($C$3="Total (tous matchs)",SUMIFS(BASE_DATA!$T:$T,BASE_DATA!$G:$G,$Q$18),SUMIFS(BASE_DATA!$T:$T,BASE_DATA!$G:$G,$Q$18,BASE_DATA!$A:$A,INDEX(PARAMS!$D$2:$D$5,MATCH($F$3,PARAMS!$C$2:$C$5,0)))),IF($K$3="Par minute jouée",IFERROR(IF($C$3="Total (tous matchs)",SUMIFS(BASE_DATA!$T:$T,BASE_DATA!$G:$G,$Q$18),SUMIFS(BASE_DATA!$T:$T,BASE_DATA!$G:$G,$Q$18,BASE_DATA!$A:$A,INDEX(PARAMS!$D$2:$D$5,MATCH($F$3,PARAMS!$C$2:$C$5,0))))/IF($C$3="Total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matchs)",SUMIFS(BASE_DATA!$T:$T,BASE_DATA!$G:$G,$Q$18),SUMIFS(BASE_DATA!$T:$T,BASE_DATA!$G:$G,$Q$18,BASE_DATA!$A:$A,INDEX(PARAMS!$D$2:$D$5,MATCH($F$3,PARAMS!$C$2:$C$5,0))))/IF($C$3="Total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S18" s="57" t="n">
        <f aca="false">IF($K$3="Stats brutes",IF($C$3="Total (tous matchs)",SUMIFS(BASE_DATA!$U:$U,BASE_DATA!$G:$G,$Q$18),SUMIFS(BASE_DATA!$U:$U,BASE_DATA!$G:$G,$Q$18,BASE_DATA!$A:$A,INDEX(PARAMS!$D$2:$D$5,MATCH($F$3,PARAMS!$C$2:$C$5,0)))),IF($K$3="Par minute jouée",IFERROR(IF($C$3="Total (tous matchs)",SUMIFS(BASE_DATA!$U:$U,BASE_DATA!$G:$G,$Q$18),SUMIFS(BASE_DATA!$U:$U,BASE_DATA!$G:$G,$Q$18,BASE_DATA!$A:$A,INDEX(PARAMS!$D$2:$D$5,MATCH($F$3,PARAMS!$C$2:$C$5,0))))/IF($C$3="Total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matchs)",SUMIFS(BASE_DATA!$U:$U,BASE_DATA!$G:$G,$Q$18),SUMIFS(BASE_DATA!$U:$U,BASE_DATA!$G:$G,$Q$18,BASE_DATA!$A:$A,INDEX(PARAMS!$D$2:$D$5,MATCH($F$3,PARAMS!$C$2:$C$5,0))))/IF($C$3="Total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T18" s="57" t="n">
        <f aca="false">IF($K$3="Stats brutes",IF($C$3="Total (tous matchs)",SUMIFS(BASE_DATA!$V:$V,BASE_DATA!$G:$G,$Q$18),SUMIFS(BASE_DATA!$V:$V,BASE_DATA!$G:$G,$Q$18,BASE_DATA!$A:$A,INDEX(PARAMS!$D$2:$D$5,MATCH($F$3,PARAMS!$C$2:$C$5,0)))),IF($K$3="Par minute jouée",IFERROR(IF($C$3="Total (tous matchs)",SUMIFS(BASE_DATA!$V:$V,BASE_DATA!$G:$G,$Q$18),SUMIFS(BASE_DATA!$V:$V,BASE_DATA!$G:$G,$Q$18,BASE_DATA!$A:$A,INDEX(PARAMS!$D$2:$D$5,MATCH($F$3,PARAMS!$C$2:$C$5,0))))/IF($C$3="Total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matchs)",SUMIFS(BASE_DATA!$V:$V,BASE_DATA!$G:$G,$Q$18),SUMIFS(BASE_DATA!$V:$V,BASE_DATA!$G:$G,$Q$18,BASE_DATA!$A:$A,INDEX(PARAMS!$D$2:$D$5,MATCH($F$3,PARAMS!$C$2:$C$5,0))))/IF($C$3="Total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U18" s="57" t="n">
        <f aca="false">IF($K$3="Stats brutes",IF($C$3="Total (tous matchs)",SUMIFS(BASE_DATA!$W:$W,BASE_DATA!$G:$G,$Q$18),SUMIFS(BASE_DATA!$W:$W,BASE_DATA!$G:$G,$Q$18,BASE_DATA!$A:$A,INDEX(PARAMS!$D$2:$D$5,MATCH($F$3,PARAMS!$C$2:$C$5,0)))),IF($K$3="Par minute jouée",IFERROR(IF($C$3="Total (tous matchs)",SUMIFS(BASE_DATA!$W:$W,BASE_DATA!$G:$G,$Q$18),SUMIFS(BASE_DATA!$W:$W,BASE_DATA!$G:$G,$Q$18,BASE_DATA!$A:$A,INDEX(PARAMS!$D$2:$D$5,MATCH($F$3,PARAMS!$C$2:$C$5,0))))/IF($C$3="Total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matchs)",SUMIFS(BASE_DATA!$W:$W,BASE_DATA!$G:$G,$Q$18),SUMIFS(BASE_DATA!$W:$W,BASE_DATA!$G:$G,$Q$18,BASE_DATA!$A:$A,INDEX(PARAMS!$D$2:$D$5,MATCH($F$3,PARAMS!$C$2:$C$5,0))))/IF($C$3="Total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V18" s="57" t="n">
        <f aca="false">IF($K$3="Stats brutes",IF($C$3="Total (tous matchs)",SUMIFS(BASE_DATA!$AN:$AN,BASE_DATA!$G:$G,$Q$18),SUMIFS(BASE_DATA!$AN:$AN,BASE_DATA!$G:$G,$Q$18,BASE_DATA!$A:$A,INDEX(PARAMS!$D$2:$D$5,MATCH($F$3,PARAMS!$C$2:$C$5,0)))),IF($K$3="Par minute jouée",IFERROR(IF($C$3="Total (tous matchs)",SUMIFS(BASE_DATA!$AN:$AN,BASE_DATA!$G:$G,$Q$18),SUMIFS(BASE_DATA!$AN:$AN,BASE_DATA!$G:$G,$Q$18,BASE_DATA!$A:$A,INDEX(PARAMS!$D$2:$D$5,MATCH($F$3,PARAMS!$C$2:$C$5,0))))/IF($C$3="Total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matchs)",SUMIFS(BASE_DATA!$AN:$AN,BASE_DATA!$G:$G,$Q$18),SUMIFS(BASE_DATA!$AN:$AN,BASE_DATA!$G:$G,$Q$18,BASE_DATA!$A:$A,INDEX(PARAMS!$D$2:$D$5,MATCH($F$3,PARAMS!$C$2:$C$5,0))))/IF($C$3="Total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W18" s="57" t="n">
        <f aca="false">IF($K$3="Stats brutes",IF($C$3="Total (tous matchs)",SUMIFS(BASE_DATA!$AO:$AO,BASE_DATA!$G:$G,$Q$18),SUMIFS(BASE_DATA!$AO:$AO,BASE_DATA!$G:$G,$Q$18,BASE_DATA!$A:$A,INDEX(PARAMS!$D$2:$D$5,MATCH($F$3,PARAMS!$C$2:$C$5,0)))),IF($K$3="Par minute jouée",IFERROR(IF($C$3="Total (tous matchs)",SUMIFS(BASE_DATA!$AO:$AO,BASE_DATA!$G:$G,$Q$18),SUMIFS(BASE_DATA!$AO:$AO,BASE_DATA!$G:$G,$Q$18,BASE_DATA!$A:$A,INDEX(PARAMS!$D$2:$D$5,MATCH($F$3,PARAMS!$C$2:$C$5,0))))/IF($C$3="Total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matchs)",SUMIFS(BASE_DATA!$AO:$AO,BASE_DATA!$G:$G,$Q$18),SUMIFS(BASE_DATA!$AO:$AO,BASE_DATA!$G:$G,$Q$18,BASE_DATA!$A:$A,INDEX(PARAMS!$D$2:$D$5,MATCH($F$3,PARAMS!$C$2:$C$5,0))))/IF($C$3="Total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X18" s="57" t="n">
        <f aca="false">IF($K$3="Stats brutes",IF($C$3="Total (tous matchs)",SUMIFS(BASE_DATA!$AA:$AA,BASE_DATA!$G:$G,$Q$18),SUMIFS(BASE_DATA!$AA:$AA,BASE_DATA!$G:$G,$Q$18,BASE_DATA!$A:$A,INDEX(PARAMS!$D$2:$D$5,MATCH($F$3,PARAMS!$C$2:$C$5,0)))),IF($K$3="Par minute jouée",IFERROR(IF($C$3="Total (tous matchs)",SUMIFS(BASE_DATA!$AA:$AA,BASE_DATA!$G:$G,$Q$18),SUMIFS(BASE_DATA!$AA:$AA,BASE_DATA!$G:$G,$Q$18,BASE_DATA!$A:$A,INDEX(PARAMS!$D$2:$D$5,MATCH($F$3,PARAMS!$C$2:$C$5,0))))/IF($C$3="Total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matchs)",SUMIFS(BASE_DATA!$AA:$AA,BASE_DATA!$G:$G,$Q$18),SUMIFS(BASE_DATA!$AA:$AA,BASE_DATA!$G:$G,$Q$18,BASE_DATA!$A:$A,INDEX(PARAMS!$D$2:$D$5,MATCH($F$3,PARAMS!$C$2:$C$5,0))))/IF($C$3="Total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Y18" s="57" t="n">
        <f aca="false">IF($K$3="Stats brutes",IF($C$3="Total (tous matchs)",SUMIFS(BASE_DATA!$AH:$AH,BASE_DATA!$G:$G,$Q$18),SUMIFS(BASE_DATA!$AH:$AH,BASE_DATA!$G:$G,$Q$18,BASE_DATA!$A:$A,INDEX(PARAMS!$D$2:$D$5,MATCH($F$3,PARAMS!$C$2:$C$5,0)))),IF($K$3="Par minute jouée",IFERROR(IF($C$3="Total (tous matchs)",SUMIFS(BASE_DATA!$AH:$AH,BASE_DATA!$G:$G,$Q$18),SUMIFS(BASE_DATA!$AH:$AH,BASE_DATA!$G:$G,$Q$18,BASE_DATA!$A:$A,INDEX(PARAMS!$D$2:$D$5,MATCH($F$3,PARAMS!$C$2:$C$5,0))))/IF($C$3="Total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matchs)",SUMIFS(BASE_DATA!$AH:$AH,BASE_DATA!$G:$G,$Q$18),SUMIFS(BASE_DATA!$AH:$AH,BASE_DATA!$G:$G,$Q$18,BASE_DATA!$A:$A,INDEX(PARAMS!$D$2:$D$5,MATCH($F$3,PARAMS!$C$2:$C$5,0))))/IF($C$3="Total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Z18" s="57" t="n">
        <f aca="false">IF($K$3="Stats brutes",IF($C$3="Total (tous matchs)",SUMIFS(BASE_DATA!$AI:$AI,BASE_DATA!$G:$G,$Q$18),SUMIFS(BASE_DATA!$AI:$AI,BASE_DATA!$G:$G,$Q$18,BASE_DATA!$A:$A,INDEX(PARAMS!$D$2:$D$5,MATCH($F$3,PARAMS!$C$2:$C$5,0)))),IF($K$3="Par minute jouée",IFERROR(IF($C$3="Total (tous matchs)",SUMIFS(BASE_DATA!$AI:$AI,BASE_DATA!$G:$G,$Q$18),SUMIFS(BASE_DATA!$AI:$AI,BASE_DATA!$G:$G,$Q$18,BASE_DATA!$A:$A,INDEX(PARAMS!$D$2:$D$5,MATCH($F$3,PARAMS!$C$2:$C$5,0))))/IF($C$3="Total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matchs)",SUMIFS(BASE_DATA!$AI:$AI,BASE_DATA!$G:$G,$Q$18),SUMIFS(BASE_DATA!$AI:$AI,BASE_DATA!$G:$G,$Q$18,BASE_DATA!$A:$A,INDEX(PARAMS!$D$2:$D$5,MATCH($F$3,PARAMS!$C$2:$C$5,0))))/IF($C$3="Total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AA18" s="57" t="n">
        <f aca="false">IF($K$3="Stats brutes",IF($C$3="Total (tous matchs)",SUMIFS(BASE_DATA!$AJ:$AJ,BASE_DATA!$G:$G,$Q$18),SUMIFS(BASE_DATA!$AJ:$AJ,BASE_DATA!$G:$G,$Q$18,BASE_DATA!$A:$A,INDEX(PARAMS!$D$2:$D$5,MATCH($F$3,PARAMS!$C$2:$C$5,0)))),IF($K$3="Par minute jouée",IFERROR(IF($C$3="Total (tous matchs)",SUMIFS(BASE_DATA!$AJ:$AJ,BASE_DATA!$G:$G,$Q$18),SUMIFS(BASE_DATA!$AJ:$AJ,BASE_DATA!$G:$G,$Q$18,BASE_DATA!$A:$A,INDEX(PARAMS!$D$2:$D$5,MATCH($F$3,PARAMS!$C$2:$C$5,0))))/IF($C$3="Total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matchs)",SUMIFS(BASE_DATA!$AJ:$AJ,BASE_DATA!$G:$G,$Q$18),SUMIFS(BASE_DATA!$AJ:$AJ,BASE_DATA!$G:$G,$Q$18,BASE_DATA!$A:$A,INDEX(PARAMS!$D$2:$D$5,MATCH($F$3,PARAMS!$C$2:$C$5,0))))/IF($C$3="Total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AB18" s="57" t="n">
        <f aca="false">IF($K$3="Stats brutes",IF($C$3="Total (tous matchs)",SUMIFS(BASE_DATA!$AK:$AK,BASE_DATA!$G:$G,$Q$18),SUMIFS(BASE_DATA!$AK:$AK,BASE_DATA!$G:$G,$Q$18,BASE_DATA!$A:$A,INDEX(PARAMS!$D$2:$D$5,MATCH($F$3,PARAMS!$C$2:$C$5,0)))),IF($K$3="Par minute jouée",IFERROR(IF($C$3="Total (tous matchs)",SUMIFS(BASE_DATA!$AK:$AK,BASE_DATA!$G:$G,$Q$18),SUMIFS(BASE_DATA!$AK:$AK,BASE_DATA!$G:$G,$Q$18,BASE_DATA!$A:$A,INDEX(PARAMS!$D$2:$D$5,MATCH($F$3,PARAMS!$C$2:$C$5,0))))/IF($C$3="Total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matchs)",SUMIFS(BASE_DATA!$R:$R,BASE_DATA!$G:$G,$Q$18),SUMIFS(BASE_DATA!$R:$R,BASE_DATA!$G:$G,$Q$18,BASE_DATA!$A:$A,INDEX(PARAMS!$D$2:$D$5,MATCH($F$3,PARAMS!$C$2:$C$5,0)))),0),IFERROR(IF($C$3="Total (tous matchs)",SUMIFS(BASE_DATA!$AK:$AK,BASE_DATA!$G:$G,$Q$18),SUMIFS(BASE_DATA!$AK:$AK,BASE_DATA!$G:$G,$Q$18,BASE_DATA!$A:$A,INDEX(PARAMS!$D$2:$D$5,MATCH($F$3,PARAMS!$C$2:$C$5,0))))/IF($C$3="Total (tous matchs)",SUMIFS(BASE_DATA!$R:$R,BASE_DATA!$G:$G,$Q$18),SUMIFS(BASE_DATA!$R:$R,BASE_DATA!$G:$G,$Q$18,BASE_DATA!$A:$A,INDEX(PARAMS!$D$2:$D$5,MATCH($F$3,PARAMS!$C$2:$C$5,0))))*40,0)))</f>
        <v>0</v>
      </c>
      <c r="AC18" s="58" t="n">
        <f aca="false">IF($C$3="Total (tous matchs)",SUMIFS(BASE_DATA!$R:$R,BASE_DATA!$G:$G,$Q$18),SUMIFS(BASE_DATA!$R:$R,BASE_DATA!$G:$G,$Q$18,BASE_DATA!$A:$A,INDEX(PARAMS!$D$2:$D$5,MATCH($F$3,PARAMS!$C$2:$C$5,0))))</f>
        <v>0</v>
      </c>
      <c r="AD18" s="59" t="n">
        <f aca="false">IF($C$3="Total (tous matchs)",COUNTIFS(BASE_DATA!$G:$G,$Q$18),COUNTIFS(BASE_DATA!$G:$G,$Q$18,BASE_DATA!$A:$A,INDEX(PARAMS!$D$2:$D$5,MATCH($F$3,PARAMS!$C$2:$C$5,0))))</f>
        <v>0</v>
      </c>
      <c r="AF18" s="13" t="n">
        <f aca="false">IFERROR(C18-F18,"-")</f>
        <v>-2</v>
      </c>
    </row>
    <row r="19" customFormat="false" ht="15" hidden="false" customHeight="true" outlineLevel="0" collapsed="false">
      <c r="B19" s="76" t="s">
        <v>130</v>
      </c>
      <c r="C19" s="77" t="n">
        <f aca="false">IFERROR(VLOOKUP($C$5,$Q$1:$AD$20,13,FALSE()),"-")</f>
        <v>9</v>
      </c>
      <c r="E19" s="76" t="s">
        <v>130</v>
      </c>
      <c r="F19" s="77" t="n">
        <f aca="false">IFERROR(VLOOKUP($F$5,$Q$1:$AD$20,13,FALSE()),"-")</f>
        <v>17.5</v>
      </c>
      <c r="H19" s="76" t="s">
        <v>130</v>
      </c>
      <c r="I19" s="75" t="n">
        <f aca="false">IFERROR(VLOOKUP($I$5,$Q$1:$AD$20,13,FALSE()),"-")</f>
        <v>14.5</v>
      </c>
      <c r="K19" s="73"/>
      <c r="L19" s="73"/>
      <c r="Q19" s="56" t="s">
        <v>125</v>
      </c>
      <c r="R19" s="57" t="n">
        <f aca="false">IF($K$3="Stats brutes",IF($C$3="Total (tous matchs)",SUMIFS(BASE_DATA!$T:$T,BASE_DATA!$G:$G,$Q$19),SUMIFS(BASE_DATA!$T:$T,BASE_DATA!$G:$G,$Q$19,BASE_DATA!$A:$A,INDEX(PARAMS!$D$2:$D$5,MATCH($F$3,PARAMS!$C$2:$C$5,0)))),IF($K$3="Par minute jouée",IFERROR(IF($C$3="Total (tous matchs)",SUMIFS(BASE_DATA!$T:$T,BASE_DATA!$G:$G,$Q$19),SUMIFS(BASE_DATA!$T:$T,BASE_DATA!$G:$G,$Q$19,BASE_DATA!$A:$A,INDEX(PARAMS!$D$2:$D$5,MATCH($F$3,PARAMS!$C$2:$C$5,0))))/IF($C$3="Total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matchs)",SUMIFS(BASE_DATA!$T:$T,BASE_DATA!$G:$G,$Q$19),SUMIFS(BASE_DATA!$T:$T,BASE_DATA!$G:$G,$Q$19,BASE_DATA!$A:$A,INDEX(PARAMS!$D$2:$D$5,MATCH($F$3,PARAMS!$C$2:$C$5,0))))/IF($C$3="Total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S19" s="57" t="n">
        <f aca="false">IF($K$3="Stats brutes",IF($C$3="Total (tous matchs)",SUMIFS(BASE_DATA!$U:$U,BASE_DATA!$G:$G,$Q$19),SUMIFS(BASE_DATA!$U:$U,BASE_DATA!$G:$G,$Q$19,BASE_DATA!$A:$A,INDEX(PARAMS!$D$2:$D$5,MATCH($F$3,PARAMS!$C$2:$C$5,0)))),IF($K$3="Par minute jouée",IFERROR(IF($C$3="Total (tous matchs)",SUMIFS(BASE_DATA!$U:$U,BASE_DATA!$G:$G,$Q$19),SUMIFS(BASE_DATA!$U:$U,BASE_DATA!$G:$G,$Q$19,BASE_DATA!$A:$A,INDEX(PARAMS!$D$2:$D$5,MATCH($F$3,PARAMS!$C$2:$C$5,0))))/IF($C$3="Total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matchs)",SUMIFS(BASE_DATA!$U:$U,BASE_DATA!$G:$G,$Q$19),SUMIFS(BASE_DATA!$U:$U,BASE_DATA!$G:$G,$Q$19,BASE_DATA!$A:$A,INDEX(PARAMS!$D$2:$D$5,MATCH($F$3,PARAMS!$C$2:$C$5,0))))/IF($C$3="Total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T19" s="57" t="n">
        <f aca="false">IF($K$3="Stats brutes",IF($C$3="Total (tous matchs)",SUMIFS(BASE_DATA!$V:$V,BASE_DATA!$G:$G,$Q$19),SUMIFS(BASE_DATA!$V:$V,BASE_DATA!$G:$G,$Q$19,BASE_DATA!$A:$A,INDEX(PARAMS!$D$2:$D$5,MATCH($F$3,PARAMS!$C$2:$C$5,0)))),IF($K$3="Par minute jouée",IFERROR(IF($C$3="Total (tous matchs)",SUMIFS(BASE_DATA!$V:$V,BASE_DATA!$G:$G,$Q$19),SUMIFS(BASE_DATA!$V:$V,BASE_DATA!$G:$G,$Q$19,BASE_DATA!$A:$A,INDEX(PARAMS!$D$2:$D$5,MATCH($F$3,PARAMS!$C$2:$C$5,0))))/IF($C$3="Total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matchs)",SUMIFS(BASE_DATA!$V:$V,BASE_DATA!$G:$G,$Q$19),SUMIFS(BASE_DATA!$V:$V,BASE_DATA!$G:$G,$Q$19,BASE_DATA!$A:$A,INDEX(PARAMS!$D$2:$D$5,MATCH($F$3,PARAMS!$C$2:$C$5,0))))/IF($C$3="Total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U19" s="57" t="n">
        <f aca="false">IF($K$3="Stats brutes",IF($C$3="Total (tous matchs)",SUMIFS(BASE_DATA!$W:$W,BASE_DATA!$G:$G,$Q$19),SUMIFS(BASE_DATA!$W:$W,BASE_DATA!$G:$G,$Q$19,BASE_DATA!$A:$A,INDEX(PARAMS!$D$2:$D$5,MATCH($F$3,PARAMS!$C$2:$C$5,0)))),IF($K$3="Par minute jouée",IFERROR(IF($C$3="Total (tous matchs)",SUMIFS(BASE_DATA!$W:$W,BASE_DATA!$G:$G,$Q$19),SUMIFS(BASE_DATA!$W:$W,BASE_DATA!$G:$G,$Q$19,BASE_DATA!$A:$A,INDEX(PARAMS!$D$2:$D$5,MATCH($F$3,PARAMS!$C$2:$C$5,0))))/IF($C$3="Total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matchs)",SUMIFS(BASE_DATA!$W:$W,BASE_DATA!$G:$G,$Q$19),SUMIFS(BASE_DATA!$W:$W,BASE_DATA!$G:$G,$Q$19,BASE_DATA!$A:$A,INDEX(PARAMS!$D$2:$D$5,MATCH($F$3,PARAMS!$C$2:$C$5,0))))/IF($C$3="Total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V19" s="57" t="n">
        <f aca="false">IF($K$3="Stats brutes",IF($C$3="Total (tous matchs)",SUMIFS(BASE_DATA!$AN:$AN,BASE_DATA!$G:$G,$Q$19),SUMIFS(BASE_DATA!$AN:$AN,BASE_DATA!$G:$G,$Q$19,BASE_DATA!$A:$A,INDEX(PARAMS!$D$2:$D$5,MATCH($F$3,PARAMS!$C$2:$C$5,0)))),IF($K$3="Par minute jouée",IFERROR(IF($C$3="Total (tous matchs)",SUMIFS(BASE_DATA!$AN:$AN,BASE_DATA!$G:$G,$Q$19),SUMIFS(BASE_DATA!$AN:$AN,BASE_DATA!$G:$G,$Q$19,BASE_DATA!$A:$A,INDEX(PARAMS!$D$2:$D$5,MATCH($F$3,PARAMS!$C$2:$C$5,0))))/IF($C$3="Total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matchs)",SUMIFS(BASE_DATA!$AN:$AN,BASE_DATA!$G:$G,$Q$19),SUMIFS(BASE_DATA!$AN:$AN,BASE_DATA!$G:$G,$Q$19,BASE_DATA!$A:$A,INDEX(PARAMS!$D$2:$D$5,MATCH($F$3,PARAMS!$C$2:$C$5,0))))/IF($C$3="Total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W19" s="57" t="n">
        <f aca="false">IF($K$3="Stats brutes",IF($C$3="Total (tous matchs)",SUMIFS(BASE_DATA!$AO:$AO,BASE_DATA!$G:$G,$Q$19),SUMIFS(BASE_DATA!$AO:$AO,BASE_DATA!$G:$G,$Q$19,BASE_DATA!$A:$A,INDEX(PARAMS!$D$2:$D$5,MATCH($F$3,PARAMS!$C$2:$C$5,0)))),IF($K$3="Par minute jouée",IFERROR(IF($C$3="Total (tous matchs)",SUMIFS(BASE_DATA!$AO:$AO,BASE_DATA!$G:$G,$Q$19),SUMIFS(BASE_DATA!$AO:$AO,BASE_DATA!$G:$G,$Q$19,BASE_DATA!$A:$A,INDEX(PARAMS!$D$2:$D$5,MATCH($F$3,PARAMS!$C$2:$C$5,0))))/IF($C$3="Total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matchs)",SUMIFS(BASE_DATA!$AO:$AO,BASE_DATA!$G:$G,$Q$19),SUMIFS(BASE_DATA!$AO:$AO,BASE_DATA!$G:$G,$Q$19,BASE_DATA!$A:$A,INDEX(PARAMS!$D$2:$D$5,MATCH($F$3,PARAMS!$C$2:$C$5,0))))/IF($C$3="Total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X19" s="57" t="n">
        <f aca="false">IF($K$3="Stats brutes",IF($C$3="Total (tous matchs)",SUMIFS(BASE_DATA!$AA:$AA,BASE_DATA!$G:$G,$Q$19),SUMIFS(BASE_DATA!$AA:$AA,BASE_DATA!$G:$G,$Q$19,BASE_DATA!$A:$A,INDEX(PARAMS!$D$2:$D$5,MATCH($F$3,PARAMS!$C$2:$C$5,0)))),IF($K$3="Par minute jouée",IFERROR(IF($C$3="Total (tous matchs)",SUMIFS(BASE_DATA!$AA:$AA,BASE_DATA!$G:$G,$Q$19),SUMIFS(BASE_DATA!$AA:$AA,BASE_DATA!$G:$G,$Q$19,BASE_DATA!$A:$A,INDEX(PARAMS!$D$2:$D$5,MATCH($F$3,PARAMS!$C$2:$C$5,0))))/IF($C$3="Total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matchs)",SUMIFS(BASE_DATA!$AA:$AA,BASE_DATA!$G:$G,$Q$19),SUMIFS(BASE_DATA!$AA:$AA,BASE_DATA!$G:$G,$Q$19,BASE_DATA!$A:$A,INDEX(PARAMS!$D$2:$D$5,MATCH($F$3,PARAMS!$C$2:$C$5,0))))/IF($C$3="Total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Y19" s="57" t="n">
        <f aca="false">IF($K$3="Stats brutes",IF($C$3="Total (tous matchs)",SUMIFS(BASE_DATA!$AH:$AH,BASE_DATA!$G:$G,$Q$19),SUMIFS(BASE_DATA!$AH:$AH,BASE_DATA!$G:$G,$Q$19,BASE_DATA!$A:$A,INDEX(PARAMS!$D$2:$D$5,MATCH($F$3,PARAMS!$C$2:$C$5,0)))),IF($K$3="Par minute jouée",IFERROR(IF($C$3="Total (tous matchs)",SUMIFS(BASE_DATA!$AH:$AH,BASE_DATA!$G:$G,$Q$19),SUMIFS(BASE_DATA!$AH:$AH,BASE_DATA!$G:$G,$Q$19,BASE_DATA!$A:$A,INDEX(PARAMS!$D$2:$D$5,MATCH($F$3,PARAMS!$C$2:$C$5,0))))/IF($C$3="Total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matchs)",SUMIFS(BASE_DATA!$AH:$AH,BASE_DATA!$G:$G,$Q$19),SUMIFS(BASE_DATA!$AH:$AH,BASE_DATA!$G:$G,$Q$19,BASE_DATA!$A:$A,INDEX(PARAMS!$D$2:$D$5,MATCH($F$3,PARAMS!$C$2:$C$5,0))))/IF($C$3="Total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Z19" s="57" t="n">
        <f aca="false">IF($K$3="Stats brutes",IF($C$3="Total (tous matchs)",SUMIFS(BASE_DATA!$AI:$AI,BASE_DATA!$G:$G,$Q$19),SUMIFS(BASE_DATA!$AI:$AI,BASE_DATA!$G:$G,$Q$19,BASE_DATA!$A:$A,INDEX(PARAMS!$D$2:$D$5,MATCH($F$3,PARAMS!$C$2:$C$5,0)))),IF($K$3="Par minute jouée",IFERROR(IF($C$3="Total (tous matchs)",SUMIFS(BASE_DATA!$AI:$AI,BASE_DATA!$G:$G,$Q$19),SUMIFS(BASE_DATA!$AI:$AI,BASE_DATA!$G:$G,$Q$19,BASE_DATA!$A:$A,INDEX(PARAMS!$D$2:$D$5,MATCH($F$3,PARAMS!$C$2:$C$5,0))))/IF($C$3="Total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matchs)",SUMIFS(BASE_DATA!$AI:$AI,BASE_DATA!$G:$G,$Q$19),SUMIFS(BASE_DATA!$AI:$AI,BASE_DATA!$G:$G,$Q$19,BASE_DATA!$A:$A,INDEX(PARAMS!$D$2:$D$5,MATCH($F$3,PARAMS!$C$2:$C$5,0))))/IF($C$3="Total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AA19" s="57" t="n">
        <f aca="false">IF($K$3="Stats brutes",IF($C$3="Total (tous matchs)",SUMIFS(BASE_DATA!$AJ:$AJ,BASE_DATA!$G:$G,$Q$19),SUMIFS(BASE_DATA!$AJ:$AJ,BASE_DATA!$G:$G,$Q$19,BASE_DATA!$A:$A,INDEX(PARAMS!$D$2:$D$5,MATCH($F$3,PARAMS!$C$2:$C$5,0)))),IF($K$3="Par minute jouée",IFERROR(IF($C$3="Total (tous matchs)",SUMIFS(BASE_DATA!$AJ:$AJ,BASE_DATA!$G:$G,$Q$19),SUMIFS(BASE_DATA!$AJ:$AJ,BASE_DATA!$G:$G,$Q$19,BASE_DATA!$A:$A,INDEX(PARAMS!$D$2:$D$5,MATCH($F$3,PARAMS!$C$2:$C$5,0))))/IF($C$3="Total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matchs)",SUMIFS(BASE_DATA!$AJ:$AJ,BASE_DATA!$G:$G,$Q$19),SUMIFS(BASE_DATA!$AJ:$AJ,BASE_DATA!$G:$G,$Q$19,BASE_DATA!$A:$A,INDEX(PARAMS!$D$2:$D$5,MATCH($F$3,PARAMS!$C$2:$C$5,0))))/IF($C$3="Total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AB19" s="57" t="n">
        <f aca="false">IF($K$3="Stats brutes",IF($C$3="Total (tous matchs)",SUMIFS(BASE_DATA!$AK:$AK,BASE_DATA!$G:$G,$Q$19),SUMIFS(BASE_DATA!$AK:$AK,BASE_DATA!$G:$G,$Q$19,BASE_DATA!$A:$A,INDEX(PARAMS!$D$2:$D$5,MATCH($F$3,PARAMS!$C$2:$C$5,0)))),IF($K$3="Par minute jouée",IFERROR(IF($C$3="Total (tous matchs)",SUMIFS(BASE_DATA!$AK:$AK,BASE_DATA!$G:$G,$Q$19),SUMIFS(BASE_DATA!$AK:$AK,BASE_DATA!$G:$G,$Q$19,BASE_DATA!$A:$A,INDEX(PARAMS!$D$2:$D$5,MATCH($F$3,PARAMS!$C$2:$C$5,0))))/IF($C$3="Total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matchs)",SUMIFS(BASE_DATA!$R:$R,BASE_DATA!$G:$G,$Q$19),SUMIFS(BASE_DATA!$R:$R,BASE_DATA!$G:$G,$Q$19,BASE_DATA!$A:$A,INDEX(PARAMS!$D$2:$D$5,MATCH($F$3,PARAMS!$C$2:$C$5,0)))),0),IFERROR(IF($C$3="Total (tous matchs)",SUMIFS(BASE_DATA!$AK:$AK,BASE_DATA!$G:$G,$Q$19),SUMIFS(BASE_DATA!$AK:$AK,BASE_DATA!$G:$G,$Q$19,BASE_DATA!$A:$A,INDEX(PARAMS!$D$2:$D$5,MATCH($F$3,PARAMS!$C$2:$C$5,0))))/IF($C$3="Total (tous matchs)",SUMIFS(BASE_DATA!$R:$R,BASE_DATA!$G:$G,$Q$19),SUMIFS(BASE_DATA!$R:$R,BASE_DATA!$G:$G,$Q$19,BASE_DATA!$A:$A,INDEX(PARAMS!$D$2:$D$5,MATCH($F$3,PARAMS!$C$2:$C$5,0))))*40,0)))</f>
        <v>0</v>
      </c>
      <c r="AC19" s="58" t="n">
        <f aca="false">IF($C$3="Total (tous matchs)",SUMIFS(BASE_DATA!$R:$R,BASE_DATA!$G:$G,$Q$19),SUMIFS(BASE_DATA!$R:$R,BASE_DATA!$G:$G,$Q$19,BASE_DATA!$A:$A,INDEX(PARAMS!$D$2:$D$5,MATCH($F$3,PARAMS!$C$2:$C$5,0))))</f>
        <v>0</v>
      </c>
      <c r="AD19" s="59" t="n">
        <f aca="false">IF($C$3="Total (tous matchs)",COUNTIFS(BASE_DATA!$G:$G,$Q$19),COUNTIFS(BASE_DATA!$G:$G,$Q$19,BASE_DATA!$A:$A,INDEX(PARAMS!$D$2:$D$5,MATCH($F$3,PARAMS!$C$2:$C$5,0))))</f>
        <v>0</v>
      </c>
      <c r="AF19" s="15" t="n">
        <f aca="false">IFERROR(C19-F19,"-")</f>
        <v>-8.5</v>
      </c>
    </row>
    <row r="20" customFormat="false" ht="15" hidden="false" customHeight="true" outlineLevel="0" collapsed="false">
      <c r="B20" s="74" t="s">
        <v>110</v>
      </c>
      <c r="C20" s="75" t="n">
        <f aca="false">IFERROR(VLOOKUP($C$5,$Q$1:$AD$20,14,FALSE()),"-")</f>
        <v>1</v>
      </c>
      <c r="E20" s="74" t="s">
        <v>110</v>
      </c>
      <c r="F20" s="75" t="n">
        <f aca="false">IFERROR(VLOOKUP($F$5,$Q$1:$AD$20,14,FALSE()),"-")</f>
        <v>1</v>
      </c>
      <c r="H20" s="74" t="s">
        <v>110</v>
      </c>
      <c r="I20" s="75" t="n">
        <f aca="false">IFERROR(VLOOKUP($I$5,$Q$1:$AD$20,14,FALSE()),"-")</f>
        <v>1</v>
      </c>
      <c r="K20" s="73"/>
      <c r="L20" s="73"/>
      <c r="Q20" s="56" t="s">
        <v>126</v>
      </c>
      <c r="R20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S20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T20" s="57" t="n">
        <f aca="false">IF($K$3="Stats brutes",IF($C$3="Total (tous matchs)",SUMIFS(BASE_DATA!$V:$V,BASE_DATA!$G:$G,$Q$20),SUMIFS(BASE_DATA!$V:$V,BASE_DATA!$G:$G,$Q$20,BASE_DATA!$A:$A,INDEX(PARAMS!$D$2:$D$5,MATCH($F$3,PARAMS!$C$2:$C$5,0)))),IF($K$3="Par minute jouée",IFERROR(IF($C$3="Total (tous matchs)",SUMIFS(BASE_DATA!$V:$V,BASE_DATA!$G:$G,$Q$20),SUMIFS(BASE_DATA!$V:$V,BASE_DATA!$G:$G,$Q$20,BASE_DATA!$A:$A,INDEX(PARAMS!$D$2:$D$5,MATCH($F$3,PARAMS!$C$2:$C$5,0))))/IF($C$3="Total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matchs)",SUMIFS(BASE_DATA!$V:$V,BASE_DATA!$G:$G,$Q$20),SUMIFS(BASE_DATA!$V:$V,BASE_DATA!$G:$G,$Q$20,BASE_DATA!$A:$A,INDEX(PARAMS!$D$2:$D$5,MATCH($F$3,PARAMS!$C$2:$C$5,0))))/IF($C$3="Total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5</v>
      </c>
      <c r="U20" s="57" t="n">
        <f aca="false">IF($K$3="Stats brutes",IF($C$3="Total (tous matchs)",SUMIFS(BASE_DATA!$W:$W,BASE_DATA!$G:$G,$Q$20),SUMIFS(BASE_DATA!$W:$W,BASE_DATA!$G:$G,$Q$20,BASE_DATA!$A:$A,INDEX(PARAMS!$D$2:$D$5,MATCH($F$3,PARAMS!$C$2:$C$5,0)))),IF($K$3="Par minute jouée",IFERROR(IF($C$3="Total (tous matchs)",SUMIFS(BASE_DATA!$W:$W,BASE_DATA!$G:$G,$Q$20),SUMIFS(BASE_DATA!$W:$W,BASE_DATA!$G:$G,$Q$20,BASE_DATA!$A:$A,INDEX(PARAMS!$D$2:$D$5,MATCH($F$3,PARAMS!$C$2:$C$5,0))))/IF($C$3="Total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matchs)",SUMIFS(BASE_DATA!$W:$W,BASE_DATA!$G:$G,$Q$20),SUMIFS(BASE_DATA!$W:$W,BASE_DATA!$G:$G,$Q$20,BASE_DATA!$A:$A,INDEX(PARAMS!$D$2:$D$5,MATCH($F$3,PARAMS!$C$2:$C$5,0))))/IF($C$3="Total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4</v>
      </c>
      <c r="V20" s="57" t="n">
        <f aca="false">IF($K$3="Stats brutes",IF($C$3="Total (tous matchs)",SUMIFS(BASE_DATA!$AN:$AN,BASE_DATA!$G:$G,$Q$20),SUMIFS(BASE_DATA!$AN:$AN,BASE_DATA!$G:$G,$Q$20,BASE_DATA!$A:$A,INDEX(PARAMS!$D$2:$D$5,MATCH($F$3,PARAMS!$C$2:$C$5,0)))),IF($K$3="Par minute jouée",IFERROR(IF($C$3="Total (tous matchs)",SUMIFS(BASE_DATA!$AN:$AN,BASE_DATA!$G:$G,$Q$20),SUMIFS(BASE_DATA!$AN:$AN,BASE_DATA!$G:$G,$Q$20,BASE_DATA!$A:$A,INDEX(PARAMS!$D$2:$D$5,MATCH($F$3,PARAMS!$C$2:$C$5,0))))/IF($C$3="Total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matchs)",SUMIFS(BASE_DATA!$AN:$AN,BASE_DATA!$G:$G,$Q$20),SUMIFS(BASE_DATA!$AN:$AN,BASE_DATA!$G:$G,$Q$20,BASE_DATA!$A:$A,INDEX(PARAMS!$D$2:$D$5,MATCH($F$3,PARAMS!$C$2:$C$5,0))))/IF($C$3="Total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W20" s="57" t="n">
        <f aca="false">IF($K$3="Stats brutes",IF($C$3="Total (tous matchs)",SUMIFS(BASE_DATA!$AO:$AO,BASE_DATA!$G:$G,$Q$20),SUMIFS(BASE_DATA!$AO:$AO,BASE_DATA!$G:$G,$Q$20,BASE_DATA!$A:$A,INDEX(PARAMS!$D$2:$D$5,MATCH($F$3,PARAMS!$C$2:$C$5,0)))),IF($K$3="Par minute jouée",IFERROR(IF($C$3="Total (tous matchs)",SUMIFS(BASE_DATA!$AO:$AO,BASE_DATA!$G:$G,$Q$20),SUMIFS(BASE_DATA!$AO:$AO,BASE_DATA!$G:$G,$Q$20,BASE_DATA!$A:$A,INDEX(PARAMS!$D$2:$D$5,MATCH($F$3,PARAMS!$C$2:$C$5,0))))/IF($C$3="Total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matchs)",SUMIFS(BASE_DATA!$AO:$AO,BASE_DATA!$G:$G,$Q$20),SUMIFS(BASE_DATA!$AO:$AO,BASE_DATA!$G:$G,$Q$20,BASE_DATA!$A:$A,INDEX(PARAMS!$D$2:$D$5,MATCH($F$3,PARAMS!$C$2:$C$5,0))))/IF($C$3="Total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2</v>
      </c>
      <c r="X20" s="57" t="n">
        <f aca="false">IF($K$3="Stats brutes",IF($C$3="Total (tous matchs)",SUMIFS(BASE_DATA!$AA:$AA,BASE_DATA!$G:$G,$Q$20),SUMIFS(BASE_DATA!$AA:$AA,BASE_DATA!$G:$G,$Q$20,BASE_DATA!$A:$A,INDEX(PARAMS!$D$2:$D$5,MATCH($F$3,PARAMS!$C$2:$C$5,0)))),IF($K$3="Par minute jouée",IFERROR(IF($C$3="Total (tous matchs)",SUMIFS(BASE_DATA!$AA:$AA,BASE_DATA!$G:$G,$Q$20),SUMIFS(BASE_DATA!$AA:$AA,BASE_DATA!$G:$G,$Q$20,BASE_DATA!$A:$A,INDEX(PARAMS!$D$2:$D$5,MATCH($F$3,PARAMS!$C$2:$C$5,0))))/IF($C$3="Total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matchs)",SUMIFS(BASE_DATA!$AA:$AA,BASE_DATA!$G:$G,$Q$20),SUMIFS(BASE_DATA!$AA:$AA,BASE_DATA!$G:$G,$Q$20,BASE_DATA!$A:$A,INDEX(PARAMS!$D$2:$D$5,MATCH($F$3,PARAMS!$C$2:$C$5,0))))/IF($C$3="Total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2</v>
      </c>
      <c r="Y20" s="57" t="n">
        <f aca="false">IF($K$3="Stats brutes",IF($C$3="Total (tous matchs)",SUMIFS(BASE_DATA!$AH:$AH,BASE_DATA!$G:$G,$Q$20),SUMIFS(BASE_DATA!$AH:$AH,BASE_DATA!$G:$G,$Q$20,BASE_DATA!$A:$A,INDEX(PARAMS!$D$2:$D$5,MATCH($F$3,PARAMS!$C$2:$C$5,0)))),IF($K$3="Par minute jouée",IFERROR(IF($C$3="Total (tous matchs)",SUMIFS(BASE_DATA!$AH:$AH,BASE_DATA!$G:$G,$Q$20),SUMIFS(BASE_DATA!$AH:$AH,BASE_DATA!$G:$G,$Q$20,BASE_DATA!$A:$A,INDEX(PARAMS!$D$2:$D$5,MATCH($F$3,PARAMS!$C$2:$C$5,0))))/IF($C$3="Total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matchs)",SUMIFS(BASE_DATA!$AH:$AH,BASE_DATA!$G:$G,$Q$20),SUMIFS(BASE_DATA!$AH:$AH,BASE_DATA!$G:$G,$Q$20,BASE_DATA!$A:$A,INDEX(PARAMS!$D$2:$D$5,MATCH($F$3,PARAMS!$C$2:$C$5,0))))/IF($C$3="Total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1</v>
      </c>
      <c r="Z20" s="57" t="n">
        <f aca="false">IF($K$3="Stats brutes",IF($C$3="Total (tous matchs)",SUMIFS(BASE_DATA!$AI:$AI,BASE_DATA!$G:$G,$Q$20),SUMIFS(BASE_DATA!$AI:$AI,BASE_DATA!$G:$G,$Q$20,BASE_DATA!$A:$A,INDEX(PARAMS!$D$2:$D$5,MATCH($F$3,PARAMS!$C$2:$C$5,0)))),IF($K$3="Par minute jouée",IFERROR(IF($C$3="Total (tous matchs)",SUMIFS(BASE_DATA!$AI:$AI,BASE_DATA!$G:$G,$Q$20),SUMIFS(BASE_DATA!$AI:$AI,BASE_DATA!$G:$G,$Q$20,BASE_DATA!$A:$A,INDEX(PARAMS!$D$2:$D$5,MATCH($F$3,PARAMS!$C$2:$C$5,0))))/IF($C$3="Total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matchs)",SUMIFS(BASE_DATA!$AI:$AI,BASE_DATA!$G:$G,$Q$20),SUMIFS(BASE_DATA!$AI:$AI,BASE_DATA!$G:$G,$Q$20,BASE_DATA!$A:$A,INDEX(PARAMS!$D$2:$D$5,MATCH($F$3,PARAMS!$C$2:$C$5,0))))/IF($C$3="Total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1</v>
      </c>
      <c r="AA20" s="57" t="n">
        <f aca="false">IF($K$3="Stats brutes",IF($C$3="Total (tous matchs)",SUMIFS(BASE_DATA!$AJ:$AJ,BASE_DATA!$G:$G,$Q$20),SUMIFS(BASE_DATA!$AJ:$AJ,BASE_DATA!$G:$G,$Q$20,BASE_DATA!$A:$A,INDEX(PARAMS!$D$2:$D$5,MATCH($F$3,PARAMS!$C$2:$C$5,0)))),IF($K$3="Par minute jouée",IFERROR(IF($C$3="Total (tous matchs)",SUMIFS(BASE_DATA!$AJ:$AJ,BASE_DATA!$G:$G,$Q$20),SUMIFS(BASE_DATA!$AJ:$AJ,BASE_DATA!$G:$G,$Q$20,BASE_DATA!$A:$A,INDEX(PARAMS!$D$2:$D$5,MATCH($F$3,PARAMS!$C$2:$C$5,0))))/IF($C$3="Total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matchs)",SUMIFS(BASE_DATA!$AJ:$AJ,BASE_DATA!$G:$G,$Q$20),SUMIFS(BASE_DATA!$AJ:$AJ,BASE_DATA!$G:$G,$Q$20,BASE_DATA!$A:$A,INDEX(PARAMS!$D$2:$D$5,MATCH($F$3,PARAMS!$C$2:$C$5,0))))/IF($C$3="Total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3</v>
      </c>
      <c r="AB20" s="57" t="n">
        <f aca="false">IF($K$3="Stats brutes",IF($C$3="Total (tous matchs)",SUMIFS(BASE_DATA!$AK:$AK,BASE_DATA!$G:$G,$Q$20),SUMIFS(BASE_DATA!$AK:$AK,BASE_DATA!$G:$G,$Q$20,BASE_DATA!$A:$A,INDEX(PARAMS!$D$2:$D$5,MATCH($F$3,PARAMS!$C$2:$C$5,0)))),IF($K$3="Par minute jouée",IFERROR(IF($C$3="Total (tous matchs)",SUMIFS(BASE_DATA!$AK:$AK,BASE_DATA!$G:$G,$Q$20),SUMIFS(BASE_DATA!$AK:$AK,BASE_DATA!$G:$G,$Q$20,BASE_DATA!$A:$A,INDEX(PARAMS!$D$2:$D$5,MATCH($F$3,PARAMS!$C$2:$C$5,0))))/IF($C$3="Total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matchs)",SUMIFS(BASE_DATA!$AK:$AK,BASE_DATA!$G:$G,$Q$20),SUMIFS(BASE_DATA!$AK:$AK,BASE_DATA!$G:$G,$Q$20,BASE_DATA!$A:$A,INDEX(PARAMS!$D$2:$D$5,MATCH($F$3,PARAMS!$C$2:$C$5,0))))/IF($C$3="Total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3</v>
      </c>
      <c r="AC20" s="58" t="n">
        <f aca="false">IF($C$3="Total (tous matchs)",SUMIFS(BASE_DATA!$R:$R,BASE_DATA!$G:$G,$Q$20),SUMIFS(BASE_DATA!$R:$R,BASE_DATA!$G:$G,$Q$20,BASE_DATA!$A:$A,INDEX(PARAMS!$D$2:$D$5,MATCH($F$3,PARAMS!$C$2:$C$5,0))))</f>
        <v>12.6667</v>
      </c>
      <c r="AD20" s="59" t="n">
        <f aca="false">IF($C$3="Total (tous matchs)",COUNTIFS(BASE_DATA!$G:$G,$Q$20),COUNTIFS(BASE_DATA!$G:$G,$Q$20,BASE_DATA!$A:$A,INDEX(PARAMS!$D$2:$D$5,MATCH($F$3,PARAMS!$C$2:$C$5,0))))</f>
        <v>1</v>
      </c>
      <c r="AF20" s="13" t="n">
        <f aca="false">IFERROR(C20-F20,"-")</f>
        <v>0</v>
      </c>
    </row>
    <row r="21" customFormat="false" ht="15" hidden="false" customHeight="true" outlineLevel="0" collapsed="false">
      <c r="Q21" s="78" t="s">
        <v>258</v>
      </c>
      <c r="R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S21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T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U21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V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W21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X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Y21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Z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A21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B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C21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D21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</row>
    <row r="22" customFormat="false" ht="15" hidden="false" customHeight="false" outlineLevel="0" collapsed="false">
      <c r="B22" s="79" t="s">
        <v>259</v>
      </c>
      <c r="C22" s="68"/>
      <c r="D22" s="68"/>
      <c r="E22" s="68"/>
      <c r="F22" s="68"/>
    </row>
    <row r="23" customFormat="false" ht="15" hidden="false" customHeight="true" outlineLevel="0" collapsed="false">
      <c r="B23" s="80" t="s">
        <v>260</v>
      </c>
      <c r="C23" s="80" t="str">
        <f aca="false">$F$3</f>
        <v>Croatie - Match 1</v>
      </c>
      <c r="E23" s="81" t="s">
        <v>261</v>
      </c>
      <c r="F23" s="81" t="str">
        <f aca="false">$I$3</f>
        <v>Portugal - Match 2</v>
      </c>
    </row>
    <row r="24" customFormat="false" ht="15" hidden="false" customHeight="true" outlineLevel="0" collapsed="false">
      <c r="C24" s="82" t="str">
        <f aca="false">$C$5</f>
        <v>O. KAMISSOKO</v>
      </c>
      <c r="E24" s="82" t="str">
        <f aca="false">$F$5</f>
        <v>L. LADIRE</v>
      </c>
      <c r="G24" s="82" t="str">
        <f aca="false">$I$5</f>
        <v>K. DA ROCHA</v>
      </c>
    </row>
    <row r="25" customFormat="false" ht="15" hidden="false" customHeight="true" outlineLevel="0" collapsed="false">
      <c r="B25" s="83" t="s">
        <v>253</v>
      </c>
      <c r="C25" s="83" t="s">
        <v>262</v>
      </c>
      <c r="D25" s="84" t="s">
        <v>263</v>
      </c>
      <c r="E25" s="83" t="s">
        <v>262</v>
      </c>
      <c r="F25" s="84" t="s">
        <v>263</v>
      </c>
      <c r="G25" s="83" t="s">
        <v>262</v>
      </c>
      <c r="H25" s="84" t="s">
        <v>263</v>
      </c>
      <c r="Q25" s="85" t="s">
        <v>264</v>
      </c>
      <c r="R25" s="85" t="s">
        <v>18</v>
      </c>
      <c r="S25" s="85" t="s">
        <v>20</v>
      </c>
      <c r="T25" s="85" t="s">
        <v>37</v>
      </c>
      <c r="U25" s="85" t="s">
        <v>237</v>
      </c>
      <c r="V25" s="85" t="s">
        <v>238</v>
      </c>
      <c r="W25" s="85" t="s">
        <v>239</v>
      </c>
      <c r="X25" s="85" t="s">
        <v>111</v>
      </c>
      <c r="Y25" s="85" t="s">
        <v>133</v>
      </c>
      <c r="Z25" s="85" t="s">
        <v>134</v>
      </c>
      <c r="AA25" s="85" t="s">
        <v>135</v>
      </c>
      <c r="AB25" s="85" t="s">
        <v>136</v>
      </c>
      <c r="AC25" s="85" t="s">
        <v>240</v>
      </c>
      <c r="AD25" s="85" t="s">
        <v>110</v>
      </c>
    </row>
    <row r="26" customFormat="false" ht="15" hidden="false" customHeight="true" outlineLevel="0" collapsed="false">
      <c r="B26" s="86" t="s">
        <v>18</v>
      </c>
      <c r="C26" s="87" t="n">
        <f aca="false">IFERROR(VLOOKUP($C$5,$Q$1:$AD$20,2,FALSE()),0)</f>
        <v>1</v>
      </c>
      <c r="D26" s="88" t="n">
        <f aca="false">IFERROR(VLOOKUP($C$5,$Q$25:$AD$44,2,FALSE()),0)</f>
        <v>1</v>
      </c>
      <c r="E26" s="87" t="n">
        <f aca="false">IFERROR(VLOOKUP($F$5,$Q$1:$AD$20,2,FALSE()),0)</f>
        <v>1</v>
      </c>
      <c r="F26" s="88" t="n">
        <f aca="false">IFERROR(VLOOKUP($F$5,$Q$25:$AD$44,2,FALSE()),0)</f>
        <v>2</v>
      </c>
      <c r="G26" s="87" t="n">
        <f aca="false">IFERROR(VLOOKUP($I$5,$Q$1:$AD$20,2,FALSE()),0)</f>
        <v>1</v>
      </c>
      <c r="H26" s="88" t="n">
        <f aca="false">IFERROR(VLOOKUP($I$5,$Q$25:$AD$44,2,FALSE()),0)</f>
        <v>0</v>
      </c>
      <c r="Q26" s="56" t="s">
        <v>24</v>
      </c>
      <c r="R26" s="57" t="n">
        <f aca="false">IF($K$3="Stats brutes",SUMIFS(BASE_DATA!$T:$T,BASE_DATA!$G:$G,$Q$26,BASE_DATA!$A:$A,INDEX(PARAMS!$D$2:$D$5,MATCH($I$3,PARAMS!$C$2:$C$5,0))),IF($K$3="Par minute jouée",IFERROR(SUMIFS(BASE_DATA!$T:$T,BASE_DATA!$G:$G,$Q$26,BASE_DATA!$A:$A,INDEX(PARAMS!$D$2:$D$5,MATCH($I$3,PARAMS!$C$2:$C$5,0)))/SUMIFS(BASE_DATA!$R:$R,BASE_DATA!$G:$G,$Q$26,BASE_DATA!$A:$A,INDEX(PARAMS!$D$2:$D$5,MATCH($I$3,PARAMS!$C$2:$C$5,0))),0),IFERROR(SUMIFS(BASE_DATA!$T:$T,BASE_DATA!$G:$G,$Q$26,BASE_DATA!$A:$A,INDEX(PARAMS!$D$2:$D$5,MATCH($I$3,PARAMS!$C$2:$C$5,0)))/SUMIFS(BASE_DATA!$R:$R,BASE_DATA!$G:$G,$Q$26,BASE_DATA!$A:$A,INDEX(PARAMS!$D$2:$D$5,MATCH($I$3,PARAMS!$C$2:$C$5,0)))*40,0)))</f>
        <v>2</v>
      </c>
      <c r="S26" s="57" t="n">
        <f aca="false">IF($K$3="Stats brutes",SUMIFS(BASE_DATA!$U:$U,BASE_DATA!$G:$G,$Q$26,BASE_DATA!$A:$A,INDEX(PARAMS!$D$2:$D$5,MATCH($I$3,PARAMS!$C$2:$C$5,0))),IF($K$3="Par minute jouée",IFERROR(SUMIFS(BASE_DATA!$U:$U,BASE_DATA!$G:$G,$Q$26,BASE_DATA!$A:$A,INDEX(PARAMS!$D$2:$D$5,MATCH($I$3,PARAMS!$C$2:$C$5,0)))/SUMIFS(BASE_DATA!$R:$R,BASE_DATA!$G:$G,$Q$26,BASE_DATA!$A:$A,INDEX(PARAMS!$D$2:$D$5,MATCH($I$3,PARAMS!$C$2:$C$5,0))),0),IFERROR(SUMIFS(BASE_DATA!$U:$U,BASE_DATA!$G:$G,$Q$26,BASE_DATA!$A:$A,INDEX(PARAMS!$D$2:$D$5,MATCH($I$3,PARAMS!$C$2:$C$5,0)))/SUMIFS(BASE_DATA!$R:$R,BASE_DATA!$G:$G,$Q$26,BASE_DATA!$A:$A,INDEX(PARAMS!$D$2:$D$5,MATCH($I$3,PARAMS!$C$2:$C$5,0)))*40,0)))</f>
        <v>0</v>
      </c>
      <c r="T26" s="57" t="n">
        <f aca="false">IF($K$3="Stats brutes",SUMIFS(BASE_DATA!$V:$V,BASE_DATA!$G:$G,$Q$26,BASE_DATA!$A:$A,INDEX(PARAMS!$D$2:$D$5,MATCH($I$3,PARAMS!$C$2:$C$5,0))),IF($K$3="Par minute jouée",IFERROR(SUMIFS(BASE_DATA!$V:$V,BASE_DATA!$G:$G,$Q$26,BASE_DATA!$A:$A,INDEX(PARAMS!$D$2:$D$5,MATCH($I$3,PARAMS!$C$2:$C$5,0)))/SUMIFS(BASE_DATA!$R:$R,BASE_DATA!$G:$G,$Q$26,BASE_DATA!$A:$A,INDEX(PARAMS!$D$2:$D$5,MATCH($I$3,PARAMS!$C$2:$C$5,0))),0),IFERROR(SUMIFS(BASE_DATA!$V:$V,BASE_DATA!$G:$G,$Q$26,BASE_DATA!$A:$A,INDEX(PARAMS!$D$2:$D$5,MATCH($I$3,PARAMS!$C$2:$C$5,0)))/SUMIFS(BASE_DATA!$R:$R,BASE_DATA!$G:$G,$Q$26,BASE_DATA!$A:$A,INDEX(PARAMS!$D$2:$D$5,MATCH($I$3,PARAMS!$C$2:$C$5,0)))*40,0)))</f>
        <v>8</v>
      </c>
      <c r="U26" s="57" t="n">
        <f aca="false">IF($K$3="Stats brutes",SUMIFS(BASE_DATA!$W:$W,BASE_DATA!$G:$G,$Q$26,BASE_DATA!$A:$A,INDEX(PARAMS!$D$2:$D$5,MATCH($I$3,PARAMS!$C$2:$C$5,0))),IF($K$3="Par minute jouée",IFERROR(SUMIFS(BASE_DATA!$W:$W,BASE_DATA!$G:$G,$Q$26,BASE_DATA!$A:$A,INDEX(PARAMS!$D$2:$D$5,MATCH($I$3,PARAMS!$C$2:$C$5,0)))/SUMIFS(BASE_DATA!$R:$R,BASE_DATA!$G:$G,$Q$26,BASE_DATA!$A:$A,INDEX(PARAMS!$D$2:$D$5,MATCH($I$3,PARAMS!$C$2:$C$5,0))),0),IFERROR(SUMIFS(BASE_DATA!$W:$W,BASE_DATA!$G:$G,$Q$26,BASE_DATA!$A:$A,INDEX(PARAMS!$D$2:$D$5,MATCH($I$3,PARAMS!$C$2:$C$5,0)))/SUMIFS(BASE_DATA!$R:$R,BASE_DATA!$G:$G,$Q$26,BASE_DATA!$A:$A,INDEX(PARAMS!$D$2:$D$5,MATCH($I$3,PARAMS!$C$2:$C$5,0)))*40,0)))</f>
        <v>4</v>
      </c>
      <c r="V26" s="57" t="n">
        <f aca="false">IF($K$3="Stats brutes",SUMIFS(BASE_DATA!$AN:$AN,BASE_DATA!$G:$G,$Q$26,BASE_DATA!$A:$A,INDEX(PARAMS!$D$2:$D$5,MATCH($I$3,PARAMS!$C$2:$C$5,0))),IF($K$3="Par minute jouée",IFERROR(SUMIFS(BASE_DATA!$AN:$AN,BASE_DATA!$G:$G,$Q$26,BASE_DATA!$A:$A,INDEX(PARAMS!$D$2:$D$5,MATCH($I$3,PARAMS!$C$2:$C$5,0)))/SUMIFS(BASE_DATA!$R:$R,BASE_DATA!$G:$G,$Q$26,BASE_DATA!$A:$A,INDEX(PARAMS!$D$2:$D$5,MATCH($I$3,PARAMS!$C$2:$C$5,0))),0),IFERROR(SUMIFS(BASE_DATA!$AN:$AN,BASE_DATA!$G:$G,$Q$26,BASE_DATA!$A:$A,INDEX(PARAMS!$D$2:$D$5,MATCH($I$3,PARAMS!$C$2:$C$5,0)))/SUMIFS(BASE_DATA!$R:$R,BASE_DATA!$G:$G,$Q$26,BASE_DATA!$A:$A,INDEX(PARAMS!$D$2:$D$5,MATCH($I$3,PARAMS!$C$2:$C$5,0)))*40,0)))</f>
        <v>4</v>
      </c>
      <c r="W26" s="57" t="n">
        <f aca="false">IF($K$3="Stats brutes",SUMIFS(BASE_DATA!$AO:$AO,BASE_DATA!$G:$G,$Q$26,BASE_DATA!$A:$A,INDEX(PARAMS!$D$2:$D$5,MATCH($I$3,PARAMS!$C$2:$C$5,0))),IF($K$3="Par minute jouée",IFERROR(SUMIFS(BASE_DATA!$AO:$AO,BASE_DATA!$G:$G,$Q$26,BASE_DATA!$A:$A,INDEX(PARAMS!$D$2:$D$5,MATCH($I$3,PARAMS!$C$2:$C$5,0)))/SUMIFS(BASE_DATA!$R:$R,BASE_DATA!$G:$G,$Q$26,BASE_DATA!$A:$A,INDEX(PARAMS!$D$2:$D$5,MATCH($I$3,PARAMS!$C$2:$C$5,0))),0),IFERROR(SUMIFS(BASE_DATA!$AO:$AO,BASE_DATA!$G:$G,$Q$26,BASE_DATA!$A:$A,INDEX(PARAMS!$D$2:$D$5,MATCH($I$3,PARAMS!$C$2:$C$5,0)))/SUMIFS(BASE_DATA!$R:$R,BASE_DATA!$G:$G,$Q$26,BASE_DATA!$A:$A,INDEX(PARAMS!$D$2:$D$5,MATCH($I$3,PARAMS!$C$2:$C$5,0)))*40,0)))</f>
        <v>1</v>
      </c>
      <c r="X26" s="57" t="n">
        <f aca="false">IF($K$3="Stats brutes",SUMIFS(BASE_DATA!$AA:$AA,BASE_DATA!$G:$G,$Q$26,BASE_DATA!$A:$A,INDEX(PARAMS!$D$2:$D$5,MATCH($I$3,PARAMS!$C$2:$C$5,0))),IF($K$3="Par minute jouée",IFERROR(SUMIFS(BASE_DATA!$AA:$AA,BASE_DATA!$G:$G,$Q$26,BASE_DATA!$A:$A,INDEX(PARAMS!$D$2:$D$5,MATCH($I$3,PARAMS!$C$2:$C$5,0)))/SUMIFS(BASE_DATA!$R:$R,BASE_DATA!$G:$G,$Q$26,BASE_DATA!$A:$A,INDEX(PARAMS!$D$2:$D$5,MATCH($I$3,PARAMS!$C$2:$C$5,0))),0),IFERROR(SUMIFS(BASE_DATA!$AA:$AA,BASE_DATA!$G:$G,$Q$26,BASE_DATA!$A:$A,INDEX(PARAMS!$D$2:$D$5,MATCH($I$3,PARAMS!$C$2:$C$5,0)))/SUMIFS(BASE_DATA!$R:$R,BASE_DATA!$G:$G,$Q$26,BASE_DATA!$A:$A,INDEX(PARAMS!$D$2:$D$5,MATCH($I$3,PARAMS!$C$2:$C$5,0)))*40,0)))</f>
        <v>7</v>
      </c>
      <c r="Y26" s="57" t="n">
        <f aca="false">IF($K$3="Stats brutes",SUMIFS(BASE_DATA!$AH:$AH,BASE_DATA!$G:$G,$Q$26,BASE_DATA!$A:$A,INDEX(PARAMS!$D$2:$D$5,MATCH($I$3,PARAMS!$C$2:$C$5,0))),IF($K$3="Par minute jouée",IFERROR(SUMIFS(BASE_DATA!$AH:$AH,BASE_DATA!$G:$G,$Q$26,BASE_DATA!$A:$A,INDEX(PARAMS!$D$2:$D$5,MATCH($I$3,PARAMS!$C$2:$C$5,0)))/SUMIFS(BASE_DATA!$R:$R,BASE_DATA!$G:$G,$Q$26,BASE_DATA!$A:$A,INDEX(PARAMS!$D$2:$D$5,MATCH($I$3,PARAMS!$C$2:$C$5,0))),0),IFERROR(SUMIFS(BASE_DATA!$AH:$AH,BASE_DATA!$G:$G,$Q$26,BASE_DATA!$A:$A,INDEX(PARAMS!$D$2:$D$5,MATCH($I$3,PARAMS!$C$2:$C$5,0)))/SUMIFS(BASE_DATA!$R:$R,BASE_DATA!$G:$G,$Q$26,BASE_DATA!$A:$A,INDEX(PARAMS!$D$2:$D$5,MATCH($I$3,PARAMS!$C$2:$C$5,0)))*40,0)))</f>
        <v>2</v>
      </c>
      <c r="Z26" s="57" t="n">
        <f aca="false">IF($K$3="Stats brutes",SUMIFS(BASE_DATA!$AI:$AI,BASE_DATA!$G:$G,$Q$26,BASE_DATA!$A:$A,INDEX(PARAMS!$D$2:$D$5,MATCH($I$3,PARAMS!$C$2:$C$5,0))),IF($K$3="Par minute jouée",IFERROR(SUMIFS(BASE_DATA!$AI:$AI,BASE_DATA!$G:$G,$Q$26,BASE_DATA!$A:$A,INDEX(PARAMS!$D$2:$D$5,MATCH($I$3,PARAMS!$C$2:$C$5,0)))/SUMIFS(BASE_DATA!$R:$R,BASE_DATA!$G:$G,$Q$26,BASE_DATA!$A:$A,INDEX(PARAMS!$D$2:$D$5,MATCH($I$3,PARAMS!$C$2:$C$5,0))),0),IFERROR(SUMIFS(BASE_DATA!$AI:$AI,BASE_DATA!$G:$G,$Q$26,BASE_DATA!$A:$A,INDEX(PARAMS!$D$2:$D$5,MATCH($I$3,PARAMS!$C$2:$C$5,0)))/SUMIFS(BASE_DATA!$R:$R,BASE_DATA!$G:$G,$Q$26,BASE_DATA!$A:$A,INDEX(PARAMS!$D$2:$D$5,MATCH($I$3,PARAMS!$C$2:$C$5,0)))*40,0)))</f>
        <v>5</v>
      </c>
      <c r="AA26" s="57" t="n">
        <f aca="false">IF($K$3="Stats brutes",SUMIFS(BASE_DATA!$AJ:$AJ,BASE_DATA!$G:$G,$Q$26,BASE_DATA!$A:$A,INDEX(PARAMS!$D$2:$D$5,MATCH($I$3,PARAMS!$C$2:$C$5,0))),IF($K$3="Par minute jouée",IFERROR(SUMIFS(BASE_DATA!$AJ:$AJ,BASE_DATA!$G:$G,$Q$26,BASE_DATA!$A:$A,INDEX(PARAMS!$D$2:$D$5,MATCH($I$3,PARAMS!$C$2:$C$5,0)))/SUMIFS(BASE_DATA!$R:$R,BASE_DATA!$G:$G,$Q$26,BASE_DATA!$A:$A,INDEX(PARAMS!$D$2:$D$5,MATCH($I$3,PARAMS!$C$2:$C$5,0))),0),IFERROR(SUMIFS(BASE_DATA!$AJ:$AJ,BASE_DATA!$G:$G,$Q$26,BASE_DATA!$A:$A,INDEX(PARAMS!$D$2:$D$5,MATCH($I$3,PARAMS!$C$2:$C$5,0)))/SUMIFS(BASE_DATA!$R:$R,BASE_DATA!$G:$G,$Q$26,BASE_DATA!$A:$A,INDEX(PARAMS!$D$2:$D$5,MATCH($I$3,PARAMS!$C$2:$C$5,0)))*40,0)))</f>
        <v>0</v>
      </c>
      <c r="AB26" s="57" t="n">
        <f aca="false">IF($K$3="Stats brutes",SUMIFS(BASE_DATA!$AK:$AK,BASE_DATA!$G:$G,$Q$26,BASE_DATA!$A:$A,INDEX(PARAMS!$D$2:$D$5,MATCH($I$3,PARAMS!$C$2:$C$5,0))),IF($K$3="Par minute jouée",IFERROR(SUMIFS(BASE_DATA!$AK:$AK,BASE_DATA!$G:$G,$Q$26,BASE_DATA!$A:$A,INDEX(PARAMS!$D$2:$D$5,MATCH($I$3,PARAMS!$C$2:$C$5,0)))/SUMIFS(BASE_DATA!$R:$R,BASE_DATA!$G:$G,$Q$26,BASE_DATA!$A:$A,INDEX(PARAMS!$D$2:$D$5,MATCH($I$3,PARAMS!$C$2:$C$5,0))),0),IFERROR(SUMIFS(BASE_DATA!$AK:$AK,BASE_DATA!$G:$G,$Q$26,BASE_DATA!$A:$A,INDEX(PARAMS!$D$2:$D$5,MATCH($I$3,PARAMS!$C$2:$C$5,0)))/SUMIFS(BASE_DATA!$R:$R,BASE_DATA!$G:$G,$Q$26,BASE_DATA!$A:$A,INDEX(PARAMS!$D$2:$D$5,MATCH($I$3,PARAMS!$C$2:$C$5,0)))*40,0)))</f>
        <v>0</v>
      </c>
      <c r="AC26" s="58" t="n">
        <f aca="false">SUMIFS(BASE_DATA!$R:$R,BASE_DATA!$G:$G,$Q$26,BASE_DATA!$A:$A,INDEX(PARAMS!$D$2:$D$5,MATCH($I$3,PARAMS!$C$2:$C$5,0)))</f>
        <v>14.6</v>
      </c>
      <c r="AD26" s="59" t="n">
        <f aca="false">COUNTIFS(BASE_DATA!$G:$G,$Q$26,BASE_DATA!$A:$A,INDEX(PARAMS!$D$2:$D$5,MATCH($I$3,PARAMS!$C$2:$C$5,0)))</f>
        <v>1</v>
      </c>
    </row>
    <row r="27" customFormat="false" ht="15" hidden="false" customHeight="true" outlineLevel="0" collapsed="false">
      <c r="B27" s="86" t="s">
        <v>257</v>
      </c>
      <c r="C27" s="87" t="n">
        <f aca="false">IFERROR(VLOOKUP($C$5,$Q$1:$AD$20,3,FALSE()),0)</f>
        <v>1</v>
      </c>
      <c r="D27" s="88" t="n">
        <f aca="false">IFERROR(VLOOKUP($C$5,$Q$25:$AD$44,3,FALSE()),0)</f>
        <v>0</v>
      </c>
      <c r="E27" s="87" t="n">
        <f aca="false">IFERROR(VLOOKUP($F$5,$Q$1:$AD$20,3,FALSE()),0)</f>
        <v>0</v>
      </c>
      <c r="F27" s="88" t="n">
        <f aca="false">IFERROR(VLOOKUP($F$5,$Q$25:$AD$44,3,FALSE()),0)</f>
        <v>0</v>
      </c>
      <c r="G27" s="87" t="n">
        <f aca="false">IFERROR(VLOOKUP($I$5,$Q$1:$AD$20,3,FALSE()),0)</f>
        <v>0</v>
      </c>
      <c r="H27" s="88" t="n">
        <f aca="false">IFERROR(VLOOKUP($I$5,$Q$25:$AD$44,3,FALSE()),0)</f>
        <v>0</v>
      </c>
      <c r="Q27" s="56" t="s">
        <v>28</v>
      </c>
      <c r="R27" s="57" t="n">
        <f aca="false">IF($K$3="Stats brutes",SUMIFS(BASE_DATA!$T:$T,BASE_DATA!$G:$G,$Q$27,BASE_DATA!$A:$A,INDEX(PARAMS!$D$2:$D$5,MATCH($I$3,PARAMS!$C$2:$C$5,0))),IF($K$3="Par minute jouée",IFERROR(SUMIFS(BASE_DATA!$T:$T,BASE_DATA!$G:$G,$Q$27,BASE_DATA!$A:$A,INDEX(PARAMS!$D$2:$D$5,MATCH($I$3,PARAMS!$C$2:$C$5,0)))/SUMIFS(BASE_DATA!$R:$R,BASE_DATA!$G:$G,$Q$27,BASE_DATA!$A:$A,INDEX(PARAMS!$D$2:$D$5,MATCH($I$3,PARAMS!$C$2:$C$5,0))),0),IFERROR(SUMIFS(BASE_DATA!$T:$T,BASE_DATA!$G:$G,$Q$27,BASE_DATA!$A:$A,INDEX(PARAMS!$D$2:$D$5,MATCH($I$3,PARAMS!$C$2:$C$5,0)))/SUMIFS(BASE_DATA!$R:$R,BASE_DATA!$G:$G,$Q$27,BASE_DATA!$A:$A,INDEX(PARAMS!$D$2:$D$5,MATCH($I$3,PARAMS!$C$2:$C$5,0)))*40,0)))</f>
        <v>0</v>
      </c>
      <c r="S27" s="57" t="n">
        <f aca="false">IF($K$3="Stats brutes",SUMIFS(BASE_DATA!$U:$U,BASE_DATA!$G:$G,$Q$27,BASE_DATA!$A:$A,INDEX(PARAMS!$D$2:$D$5,MATCH($I$3,PARAMS!$C$2:$C$5,0))),IF($K$3="Par minute jouée",IFERROR(SUMIFS(BASE_DATA!$U:$U,BASE_DATA!$G:$G,$Q$27,BASE_DATA!$A:$A,INDEX(PARAMS!$D$2:$D$5,MATCH($I$3,PARAMS!$C$2:$C$5,0)))/SUMIFS(BASE_DATA!$R:$R,BASE_DATA!$G:$G,$Q$27,BASE_DATA!$A:$A,INDEX(PARAMS!$D$2:$D$5,MATCH($I$3,PARAMS!$C$2:$C$5,0))),0),IFERROR(SUMIFS(BASE_DATA!$U:$U,BASE_DATA!$G:$G,$Q$27,BASE_DATA!$A:$A,INDEX(PARAMS!$D$2:$D$5,MATCH($I$3,PARAMS!$C$2:$C$5,0)))/SUMIFS(BASE_DATA!$R:$R,BASE_DATA!$G:$G,$Q$27,BASE_DATA!$A:$A,INDEX(PARAMS!$D$2:$D$5,MATCH($I$3,PARAMS!$C$2:$C$5,0)))*40,0)))</f>
        <v>1</v>
      </c>
      <c r="T27" s="57" t="n">
        <f aca="false">IF($K$3="Stats brutes",SUMIFS(BASE_DATA!$V:$V,BASE_DATA!$G:$G,$Q$27,BASE_DATA!$A:$A,INDEX(PARAMS!$D$2:$D$5,MATCH($I$3,PARAMS!$C$2:$C$5,0))),IF($K$3="Par minute jouée",IFERROR(SUMIFS(BASE_DATA!$V:$V,BASE_DATA!$G:$G,$Q$27,BASE_DATA!$A:$A,INDEX(PARAMS!$D$2:$D$5,MATCH($I$3,PARAMS!$C$2:$C$5,0)))/SUMIFS(BASE_DATA!$R:$R,BASE_DATA!$G:$G,$Q$27,BASE_DATA!$A:$A,INDEX(PARAMS!$D$2:$D$5,MATCH($I$3,PARAMS!$C$2:$C$5,0))),0),IFERROR(SUMIFS(BASE_DATA!$V:$V,BASE_DATA!$G:$G,$Q$27,BASE_DATA!$A:$A,INDEX(PARAMS!$D$2:$D$5,MATCH($I$3,PARAMS!$C$2:$C$5,0)))/SUMIFS(BASE_DATA!$R:$R,BASE_DATA!$G:$G,$Q$27,BASE_DATA!$A:$A,INDEX(PARAMS!$D$2:$D$5,MATCH($I$3,PARAMS!$C$2:$C$5,0)))*40,0)))</f>
        <v>9</v>
      </c>
      <c r="U27" s="57" t="n">
        <f aca="false">IF($K$3="Stats brutes",SUMIFS(BASE_DATA!$W:$W,BASE_DATA!$G:$G,$Q$27,BASE_DATA!$A:$A,INDEX(PARAMS!$D$2:$D$5,MATCH($I$3,PARAMS!$C$2:$C$5,0))),IF($K$3="Par minute jouée",IFERROR(SUMIFS(BASE_DATA!$W:$W,BASE_DATA!$G:$G,$Q$27,BASE_DATA!$A:$A,INDEX(PARAMS!$D$2:$D$5,MATCH($I$3,PARAMS!$C$2:$C$5,0)))/SUMIFS(BASE_DATA!$R:$R,BASE_DATA!$G:$G,$Q$27,BASE_DATA!$A:$A,INDEX(PARAMS!$D$2:$D$5,MATCH($I$3,PARAMS!$C$2:$C$5,0))),0),IFERROR(SUMIFS(BASE_DATA!$W:$W,BASE_DATA!$G:$G,$Q$27,BASE_DATA!$A:$A,INDEX(PARAMS!$D$2:$D$5,MATCH($I$3,PARAMS!$C$2:$C$5,0)))/SUMIFS(BASE_DATA!$R:$R,BASE_DATA!$G:$G,$Q$27,BASE_DATA!$A:$A,INDEX(PARAMS!$D$2:$D$5,MATCH($I$3,PARAMS!$C$2:$C$5,0)))*40,0)))</f>
        <v>5</v>
      </c>
      <c r="V27" s="57" t="n">
        <f aca="false">IF($K$3="Stats brutes",SUMIFS(BASE_DATA!$AN:$AN,BASE_DATA!$G:$G,$Q$27,BASE_DATA!$A:$A,INDEX(PARAMS!$D$2:$D$5,MATCH($I$3,PARAMS!$C$2:$C$5,0))),IF($K$3="Par minute jouée",IFERROR(SUMIFS(BASE_DATA!$AN:$AN,BASE_DATA!$G:$G,$Q$27,BASE_DATA!$A:$A,INDEX(PARAMS!$D$2:$D$5,MATCH($I$3,PARAMS!$C$2:$C$5,0)))/SUMIFS(BASE_DATA!$R:$R,BASE_DATA!$G:$G,$Q$27,BASE_DATA!$A:$A,INDEX(PARAMS!$D$2:$D$5,MATCH($I$3,PARAMS!$C$2:$C$5,0))),0),IFERROR(SUMIFS(BASE_DATA!$AN:$AN,BASE_DATA!$G:$G,$Q$27,BASE_DATA!$A:$A,INDEX(PARAMS!$D$2:$D$5,MATCH($I$3,PARAMS!$C$2:$C$5,0)))/SUMIFS(BASE_DATA!$R:$R,BASE_DATA!$G:$G,$Q$27,BASE_DATA!$A:$A,INDEX(PARAMS!$D$2:$D$5,MATCH($I$3,PARAMS!$C$2:$C$5,0)))*40,0)))</f>
        <v>0</v>
      </c>
      <c r="W27" s="57" t="n">
        <f aca="false">IF($K$3="Stats brutes",SUMIFS(BASE_DATA!$AO:$AO,BASE_DATA!$G:$G,$Q$27,BASE_DATA!$A:$A,INDEX(PARAMS!$D$2:$D$5,MATCH($I$3,PARAMS!$C$2:$C$5,0))),IF($K$3="Par minute jouée",IFERROR(SUMIFS(BASE_DATA!$AO:$AO,BASE_DATA!$G:$G,$Q$27,BASE_DATA!$A:$A,INDEX(PARAMS!$D$2:$D$5,MATCH($I$3,PARAMS!$C$2:$C$5,0)))/SUMIFS(BASE_DATA!$R:$R,BASE_DATA!$G:$G,$Q$27,BASE_DATA!$A:$A,INDEX(PARAMS!$D$2:$D$5,MATCH($I$3,PARAMS!$C$2:$C$5,0))),0),IFERROR(SUMIFS(BASE_DATA!$AO:$AO,BASE_DATA!$G:$G,$Q$27,BASE_DATA!$A:$A,INDEX(PARAMS!$D$2:$D$5,MATCH($I$3,PARAMS!$C$2:$C$5,0)))/SUMIFS(BASE_DATA!$R:$R,BASE_DATA!$G:$G,$Q$27,BASE_DATA!$A:$A,INDEX(PARAMS!$D$2:$D$5,MATCH($I$3,PARAMS!$C$2:$C$5,0)))*40,0)))</f>
        <v>1</v>
      </c>
      <c r="X27" s="57" t="n">
        <f aca="false">IF($K$3="Stats brutes",SUMIFS(BASE_DATA!$AA:$AA,BASE_DATA!$G:$G,$Q$27,BASE_DATA!$A:$A,INDEX(PARAMS!$D$2:$D$5,MATCH($I$3,PARAMS!$C$2:$C$5,0))),IF($K$3="Par minute jouée",IFERROR(SUMIFS(BASE_DATA!$AA:$AA,BASE_DATA!$G:$G,$Q$27,BASE_DATA!$A:$A,INDEX(PARAMS!$D$2:$D$5,MATCH($I$3,PARAMS!$C$2:$C$5,0)))/SUMIFS(BASE_DATA!$R:$R,BASE_DATA!$G:$G,$Q$27,BASE_DATA!$A:$A,INDEX(PARAMS!$D$2:$D$5,MATCH($I$3,PARAMS!$C$2:$C$5,0))),0),IFERROR(SUMIFS(BASE_DATA!$AA:$AA,BASE_DATA!$G:$G,$Q$27,BASE_DATA!$A:$A,INDEX(PARAMS!$D$2:$D$5,MATCH($I$3,PARAMS!$C$2:$C$5,0)))/SUMIFS(BASE_DATA!$R:$R,BASE_DATA!$G:$G,$Q$27,BASE_DATA!$A:$A,INDEX(PARAMS!$D$2:$D$5,MATCH($I$3,PARAMS!$C$2:$C$5,0)))*40,0)))</f>
        <v>6</v>
      </c>
      <c r="Y27" s="57" t="n">
        <f aca="false">IF($K$3="Stats brutes",SUMIFS(BASE_DATA!$AH:$AH,BASE_DATA!$G:$G,$Q$27,BASE_DATA!$A:$A,INDEX(PARAMS!$D$2:$D$5,MATCH($I$3,PARAMS!$C$2:$C$5,0))),IF($K$3="Par minute jouée",IFERROR(SUMIFS(BASE_DATA!$AH:$AH,BASE_DATA!$G:$G,$Q$27,BASE_DATA!$A:$A,INDEX(PARAMS!$D$2:$D$5,MATCH($I$3,PARAMS!$C$2:$C$5,0)))/SUMIFS(BASE_DATA!$R:$R,BASE_DATA!$G:$G,$Q$27,BASE_DATA!$A:$A,INDEX(PARAMS!$D$2:$D$5,MATCH($I$3,PARAMS!$C$2:$C$5,0))),0),IFERROR(SUMIFS(BASE_DATA!$AH:$AH,BASE_DATA!$G:$G,$Q$27,BASE_DATA!$A:$A,INDEX(PARAMS!$D$2:$D$5,MATCH($I$3,PARAMS!$C$2:$C$5,0)))/SUMIFS(BASE_DATA!$R:$R,BASE_DATA!$G:$G,$Q$27,BASE_DATA!$A:$A,INDEX(PARAMS!$D$2:$D$5,MATCH($I$3,PARAMS!$C$2:$C$5,0)))*40,0)))</f>
        <v>0</v>
      </c>
      <c r="Z27" s="57" t="n">
        <f aca="false">IF($K$3="Stats brutes",SUMIFS(BASE_DATA!$AI:$AI,BASE_DATA!$G:$G,$Q$27,BASE_DATA!$A:$A,INDEX(PARAMS!$D$2:$D$5,MATCH($I$3,PARAMS!$C$2:$C$5,0))),IF($K$3="Par minute jouée",IFERROR(SUMIFS(BASE_DATA!$AI:$AI,BASE_DATA!$G:$G,$Q$27,BASE_DATA!$A:$A,INDEX(PARAMS!$D$2:$D$5,MATCH($I$3,PARAMS!$C$2:$C$5,0)))/SUMIFS(BASE_DATA!$R:$R,BASE_DATA!$G:$G,$Q$27,BASE_DATA!$A:$A,INDEX(PARAMS!$D$2:$D$5,MATCH($I$3,PARAMS!$C$2:$C$5,0))),0),IFERROR(SUMIFS(BASE_DATA!$AI:$AI,BASE_DATA!$G:$G,$Q$27,BASE_DATA!$A:$A,INDEX(PARAMS!$D$2:$D$5,MATCH($I$3,PARAMS!$C$2:$C$5,0)))/SUMIFS(BASE_DATA!$R:$R,BASE_DATA!$G:$G,$Q$27,BASE_DATA!$A:$A,INDEX(PARAMS!$D$2:$D$5,MATCH($I$3,PARAMS!$C$2:$C$5,0)))*40,0)))</f>
        <v>1</v>
      </c>
      <c r="AA27" s="57" t="n">
        <f aca="false">IF($K$3="Stats brutes",SUMIFS(BASE_DATA!$AJ:$AJ,BASE_DATA!$G:$G,$Q$27,BASE_DATA!$A:$A,INDEX(PARAMS!$D$2:$D$5,MATCH($I$3,PARAMS!$C$2:$C$5,0))),IF($K$3="Par minute jouée",IFERROR(SUMIFS(BASE_DATA!$AJ:$AJ,BASE_DATA!$G:$G,$Q$27,BASE_DATA!$A:$A,INDEX(PARAMS!$D$2:$D$5,MATCH($I$3,PARAMS!$C$2:$C$5,0)))/SUMIFS(BASE_DATA!$R:$R,BASE_DATA!$G:$G,$Q$27,BASE_DATA!$A:$A,INDEX(PARAMS!$D$2:$D$5,MATCH($I$3,PARAMS!$C$2:$C$5,0))),0),IFERROR(SUMIFS(BASE_DATA!$AJ:$AJ,BASE_DATA!$G:$G,$Q$27,BASE_DATA!$A:$A,INDEX(PARAMS!$D$2:$D$5,MATCH($I$3,PARAMS!$C$2:$C$5,0)))/SUMIFS(BASE_DATA!$R:$R,BASE_DATA!$G:$G,$Q$27,BASE_DATA!$A:$A,INDEX(PARAMS!$D$2:$D$5,MATCH($I$3,PARAMS!$C$2:$C$5,0)))*40,0)))</f>
        <v>0</v>
      </c>
      <c r="AB27" s="57" t="n">
        <f aca="false">IF($K$3="Stats brutes",SUMIFS(BASE_DATA!$AK:$AK,BASE_DATA!$G:$G,$Q$27,BASE_DATA!$A:$A,INDEX(PARAMS!$D$2:$D$5,MATCH($I$3,PARAMS!$C$2:$C$5,0))),IF($K$3="Par minute jouée",IFERROR(SUMIFS(BASE_DATA!$AK:$AK,BASE_DATA!$G:$G,$Q$27,BASE_DATA!$A:$A,INDEX(PARAMS!$D$2:$D$5,MATCH($I$3,PARAMS!$C$2:$C$5,0)))/SUMIFS(BASE_DATA!$R:$R,BASE_DATA!$G:$G,$Q$27,BASE_DATA!$A:$A,INDEX(PARAMS!$D$2:$D$5,MATCH($I$3,PARAMS!$C$2:$C$5,0))),0),IFERROR(SUMIFS(BASE_DATA!$AK:$AK,BASE_DATA!$G:$G,$Q$27,BASE_DATA!$A:$A,INDEX(PARAMS!$D$2:$D$5,MATCH($I$3,PARAMS!$C$2:$C$5,0)))/SUMIFS(BASE_DATA!$R:$R,BASE_DATA!$G:$G,$Q$27,BASE_DATA!$A:$A,INDEX(PARAMS!$D$2:$D$5,MATCH($I$3,PARAMS!$C$2:$C$5,0)))*40,0)))</f>
        <v>0</v>
      </c>
      <c r="AC27" s="58" t="n">
        <f aca="false">SUMIFS(BASE_DATA!$R:$R,BASE_DATA!$G:$G,$Q$27,BASE_DATA!$A:$A,INDEX(PARAMS!$D$2:$D$5,MATCH($I$3,PARAMS!$C$2:$C$5,0)))</f>
        <v>8.2667</v>
      </c>
      <c r="AD27" s="59" t="n">
        <f aca="false">COUNTIFS(BASE_DATA!$G:$G,$Q$27,BASE_DATA!$A:$A,INDEX(PARAMS!$D$2:$D$5,MATCH($I$3,PARAMS!$C$2:$C$5,0)))</f>
        <v>1</v>
      </c>
    </row>
    <row r="28" customFormat="false" ht="15" hidden="false" customHeight="true" outlineLevel="0" collapsed="false">
      <c r="B28" s="86" t="s">
        <v>37</v>
      </c>
      <c r="C28" s="87" t="n">
        <f aca="false">IFERROR(VLOOKUP($C$5,$Q$1:$AD$20,4,FALSE()),0)</f>
        <v>1</v>
      </c>
      <c r="D28" s="88" t="n">
        <f aca="false">IFERROR(VLOOKUP($C$5,$Q$25:$AD$44,4,FALSE()),0)</f>
        <v>3</v>
      </c>
      <c r="E28" s="87" t="n">
        <f aca="false">IFERROR(VLOOKUP($F$5,$Q$1:$AD$20,4,FALSE()),0)</f>
        <v>4</v>
      </c>
      <c r="F28" s="88" t="n">
        <f aca="false">IFERROR(VLOOKUP($F$5,$Q$25:$AD$44,4,FALSE()),0)</f>
        <v>8</v>
      </c>
      <c r="G28" s="87" t="n">
        <f aca="false">IFERROR(VLOOKUP($I$5,$Q$1:$AD$20,4,FALSE()),0)</f>
        <v>7</v>
      </c>
      <c r="H28" s="88" t="n">
        <f aca="false">IFERROR(VLOOKUP($I$5,$Q$25:$AD$44,4,FALSE()),0)</f>
        <v>0</v>
      </c>
      <c r="Q28" s="56" t="s">
        <v>33</v>
      </c>
      <c r="R28" s="57" t="n">
        <f aca="false">IF($K$3="Stats brutes",SUMIFS(BASE_DATA!$T:$T,BASE_DATA!$G:$G,$Q$28,BASE_DATA!$A:$A,INDEX(PARAMS!$D$2:$D$5,MATCH($I$3,PARAMS!$C$2:$C$5,0))),IF($K$3="Par minute jouée",IFERROR(SUMIFS(BASE_DATA!$T:$T,BASE_DATA!$G:$G,$Q$28,BASE_DATA!$A:$A,INDEX(PARAMS!$D$2:$D$5,MATCH($I$3,PARAMS!$C$2:$C$5,0)))/SUMIFS(BASE_DATA!$R:$R,BASE_DATA!$G:$G,$Q$28,BASE_DATA!$A:$A,INDEX(PARAMS!$D$2:$D$5,MATCH($I$3,PARAMS!$C$2:$C$5,0))),0),IFERROR(SUMIFS(BASE_DATA!$T:$T,BASE_DATA!$G:$G,$Q$28,BASE_DATA!$A:$A,INDEX(PARAMS!$D$2:$D$5,MATCH($I$3,PARAMS!$C$2:$C$5,0)))/SUMIFS(BASE_DATA!$R:$R,BASE_DATA!$G:$G,$Q$28,BASE_DATA!$A:$A,INDEX(PARAMS!$D$2:$D$5,MATCH($I$3,PARAMS!$C$2:$C$5,0)))*40,0)))</f>
        <v>1</v>
      </c>
      <c r="S28" s="57" t="n">
        <f aca="false">IF($K$3="Stats brutes",SUMIFS(BASE_DATA!$U:$U,BASE_DATA!$G:$G,$Q$28,BASE_DATA!$A:$A,INDEX(PARAMS!$D$2:$D$5,MATCH($I$3,PARAMS!$C$2:$C$5,0))),IF($K$3="Par minute jouée",IFERROR(SUMIFS(BASE_DATA!$U:$U,BASE_DATA!$G:$G,$Q$28,BASE_DATA!$A:$A,INDEX(PARAMS!$D$2:$D$5,MATCH($I$3,PARAMS!$C$2:$C$5,0)))/SUMIFS(BASE_DATA!$R:$R,BASE_DATA!$G:$G,$Q$28,BASE_DATA!$A:$A,INDEX(PARAMS!$D$2:$D$5,MATCH($I$3,PARAMS!$C$2:$C$5,0))),0),IFERROR(SUMIFS(BASE_DATA!$U:$U,BASE_DATA!$G:$G,$Q$28,BASE_DATA!$A:$A,INDEX(PARAMS!$D$2:$D$5,MATCH($I$3,PARAMS!$C$2:$C$5,0)))/SUMIFS(BASE_DATA!$R:$R,BASE_DATA!$G:$G,$Q$28,BASE_DATA!$A:$A,INDEX(PARAMS!$D$2:$D$5,MATCH($I$3,PARAMS!$C$2:$C$5,0)))*40,0)))</f>
        <v>0</v>
      </c>
      <c r="T28" s="57" t="n">
        <f aca="false">IF($K$3="Stats brutes",SUMIFS(BASE_DATA!$V:$V,BASE_DATA!$G:$G,$Q$28,BASE_DATA!$A:$A,INDEX(PARAMS!$D$2:$D$5,MATCH($I$3,PARAMS!$C$2:$C$5,0))),IF($K$3="Par minute jouée",IFERROR(SUMIFS(BASE_DATA!$V:$V,BASE_DATA!$G:$G,$Q$28,BASE_DATA!$A:$A,INDEX(PARAMS!$D$2:$D$5,MATCH($I$3,PARAMS!$C$2:$C$5,0)))/SUMIFS(BASE_DATA!$R:$R,BASE_DATA!$G:$G,$Q$28,BASE_DATA!$A:$A,INDEX(PARAMS!$D$2:$D$5,MATCH($I$3,PARAMS!$C$2:$C$5,0))),0),IFERROR(SUMIFS(BASE_DATA!$V:$V,BASE_DATA!$G:$G,$Q$28,BASE_DATA!$A:$A,INDEX(PARAMS!$D$2:$D$5,MATCH($I$3,PARAMS!$C$2:$C$5,0)))/SUMIFS(BASE_DATA!$R:$R,BASE_DATA!$G:$G,$Q$28,BASE_DATA!$A:$A,INDEX(PARAMS!$D$2:$D$5,MATCH($I$3,PARAMS!$C$2:$C$5,0)))*40,0)))</f>
        <v>3</v>
      </c>
      <c r="U28" s="57" t="n">
        <f aca="false">IF($K$3="Stats brutes",SUMIFS(BASE_DATA!$W:$W,BASE_DATA!$G:$G,$Q$28,BASE_DATA!$A:$A,INDEX(PARAMS!$D$2:$D$5,MATCH($I$3,PARAMS!$C$2:$C$5,0))),IF($K$3="Par minute jouée",IFERROR(SUMIFS(BASE_DATA!$W:$W,BASE_DATA!$G:$G,$Q$28,BASE_DATA!$A:$A,INDEX(PARAMS!$D$2:$D$5,MATCH($I$3,PARAMS!$C$2:$C$5,0)))/SUMIFS(BASE_DATA!$R:$R,BASE_DATA!$G:$G,$Q$28,BASE_DATA!$A:$A,INDEX(PARAMS!$D$2:$D$5,MATCH($I$3,PARAMS!$C$2:$C$5,0))),0),IFERROR(SUMIFS(BASE_DATA!$W:$W,BASE_DATA!$G:$G,$Q$28,BASE_DATA!$A:$A,INDEX(PARAMS!$D$2:$D$5,MATCH($I$3,PARAMS!$C$2:$C$5,0)))/SUMIFS(BASE_DATA!$R:$R,BASE_DATA!$G:$G,$Q$28,BASE_DATA!$A:$A,INDEX(PARAMS!$D$2:$D$5,MATCH($I$3,PARAMS!$C$2:$C$5,0)))*40,0)))</f>
        <v>3</v>
      </c>
      <c r="V28" s="57" t="n">
        <f aca="false">IF($K$3="Stats brutes",SUMIFS(BASE_DATA!$AN:$AN,BASE_DATA!$G:$G,$Q$28,BASE_DATA!$A:$A,INDEX(PARAMS!$D$2:$D$5,MATCH($I$3,PARAMS!$C$2:$C$5,0))),IF($K$3="Par minute jouée",IFERROR(SUMIFS(BASE_DATA!$AN:$AN,BASE_DATA!$G:$G,$Q$28,BASE_DATA!$A:$A,INDEX(PARAMS!$D$2:$D$5,MATCH($I$3,PARAMS!$C$2:$C$5,0)))/SUMIFS(BASE_DATA!$R:$R,BASE_DATA!$G:$G,$Q$28,BASE_DATA!$A:$A,INDEX(PARAMS!$D$2:$D$5,MATCH($I$3,PARAMS!$C$2:$C$5,0))),0),IFERROR(SUMIFS(BASE_DATA!$AN:$AN,BASE_DATA!$G:$G,$Q$28,BASE_DATA!$A:$A,INDEX(PARAMS!$D$2:$D$5,MATCH($I$3,PARAMS!$C$2:$C$5,0)))/SUMIFS(BASE_DATA!$R:$R,BASE_DATA!$G:$G,$Q$28,BASE_DATA!$A:$A,INDEX(PARAMS!$D$2:$D$5,MATCH($I$3,PARAMS!$C$2:$C$5,0)))*40,0)))</f>
        <v>6</v>
      </c>
      <c r="W28" s="57" t="n">
        <f aca="false">IF($K$3="Stats brutes",SUMIFS(BASE_DATA!$AO:$AO,BASE_DATA!$G:$G,$Q$28,BASE_DATA!$A:$A,INDEX(PARAMS!$D$2:$D$5,MATCH($I$3,PARAMS!$C$2:$C$5,0))),IF($K$3="Par minute jouée",IFERROR(SUMIFS(BASE_DATA!$AO:$AO,BASE_DATA!$G:$G,$Q$28,BASE_DATA!$A:$A,INDEX(PARAMS!$D$2:$D$5,MATCH($I$3,PARAMS!$C$2:$C$5,0)))/SUMIFS(BASE_DATA!$R:$R,BASE_DATA!$G:$G,$Q$28,BASE_DATA!$A:$A,INDEX(PARAMS!$D$2:$D$5,MATCH($I$3,PARAMS!$C$2:$C$5,0))),0),IFERROR(SUMIFS(BASE_DATA!$AO:$AO,BASE_DATA!$G:$G,$Q$28,BASE_DATA!$A:$A,INDEX(PARAMS!$D$2:$D$5,MATCH($I$3,PARAMS!$C$2:$C$5,0)))/SUMIFS(BASE_DATA!$R:$R,BASE_DATA!$G:$G,$Q$28,BASE_DATA!$A:$A,INDEX(PARAMS!$D$2:$D$5,MATCH($I$3,PARAMS!$C$2:$C$5,0)))*40,0)))</f>
        <v>1</v>
      </c>
      <c r="X28" s="57" t="n">
        <f aca="false">IF($K$3="Stats brutes",SUMIFS(BASE_DATA!$AA:$AA,BASE_DATA!$G:$G,$Q$28,BASE_DATA!$A:$A,INDEX(PARAMS!$D$2:$D$5,MATCH($I$3,PARAMS!$C$2:$C$5,0))),IF($K$3="Par minute jouée",IFERROR(SUMIFS(BASE_DATA!$AA:$AA,BASE_DATA!$G:$G,$Q$28,BASE_DATA!$A:$A,INDEX(PARAMS!$D$2:$D$5,MATCH($I$3,PARAMS!$C$2:$C$5,0)))/SUMIFS(BASE_DATA!$R:$R,BASE_DATA!$G:$G,$Q$28,BASE_DATA!$A:$A,INDEX(PARAMS!$D$2:$D$5,MATCH($I$3,PARAMS!$C$2:$C$5,0))),0),IFERROR(SUMIFS(BASE_DATA!$AA:$AA,BASE_DATA!$G:$G,$Q$28,BASE_DATA!$A:$A,INDEX(PARAMS!$D$2:$D$5,MATCH($I$3,PARAMS!$C$2:$C$5,0)))/SUMIFS(BASE_DATA!$R:$R,BASE_DATA!$G:$G,$Q$28,BASE_DATA!$A:$A,INDEX(PARAMS!$D$2:$D$5,MATCH($I$3,PARAMS!$C$2:$C$5,0)))*40,0)))</f>
        <v>8</v>
      </c>
      <c r="Y28" s="57" t="n">
        <f aca="false">IF($K$3="Stats brutes",SUMIFS(BASE_DATA!$AH:$AH,BASE_DATA!$G:$G,$Q$28,BASE_DATA!$A:$A,INDEX(PARAMS!$D$2:$D$5,MATCH($I$3,PARAMS!$C$2:$C$5,0))),IF($K$3="Par minute jouée",IFERROR(SUMIFS(BASE_DATA!$AH:$AH,BASE_DATA!$G:$G,$Q$28,BASE_DATA!$A:$A,INDEX(PARAMS!$D$2:$D$5,MATCH($I$3,PARAMS!$C$2:$C$5,0)))/SUMIFS(BASE_DATA!$R:$R,BASE_DATA!$G:$G,$Q$28,BASE_DATA!$A:$A,INDEX(PARAMS!$D$2:$D$5,MATCH($I$3,PARAMS!$C$2:$C$5,0))),0),IFERROR(SUMIFS(BASE_DATA!$AH:$AH,BASE_DATA!$G:$G,$Q$28,BASE_DATA!$A:$A,INDEX(PARAMS!$D$2:$D$5,MATCH($I$3,PARAMS!$C$2:$C$5,0)))/SUMIFS(BASE_DATA!$R:$R,BASE_DATA!$G:$G,$Q$28,BASE_DATA!$A:$A,INDEX(PARAMS!$D$2:$D$5,MATCH($I$3,PARAMS!$C$2:$C$5,0)))*40,0)))</f>
        <v>2</v>
      </c>
      <c r="Z28" s="57" t="n">
        <f aca="false">IF($K$3="Stats brutes",SUMIFS(BASE_DATA!$AI:$AI,BASE_DATA!$G:$G,$Q$28,BASE_DATA!$A:$A,INDEX(PARAMS!$D$2:$D$5,MATCH($I$3,PARAMS!$C$2:$C$5,0))),IF($K$3="Par minute jouée",IFERROR(SUMIFS(BASE_DATA!$AI:$AI,BASE_DATA!$G:$G,$Q$28,BASE_DATA!$A:$A,INDEX(PARAMS!$D$2:$D$5,MATCH($I$3,PARAMS!$C$2:$C$5,0)))/SUMIFS(BASE_DATA!$R:$R,BASE_DATA!$G:$G,$Q$28,BASE_DATA!$A:$A,INDEX(PARAMS!$D$2:$D$5,MATCH($I$3,PARAMS!$C$2:$C$5,0))),0),IFERROR(SUMIFS(BASE_DATA!$AI:$AI,BASE_DATA!$G:$G,$Q$28,BASE_DATA!$A:$A,INDEX(PARAMS!$D$2:$D$5,MATCH($I$3,PARAMS!$C$2:$C$5,0)))/SUMIFS(BASE_DATA!$R:$R,BASE_DATA!$G:$G,$Q$28,BASE_DATA!$A:$A,INDEX(PARAMS!$D$2:$D$5,MATCH($I$3,PARAMS!$C$2:$C$5,0)))*40,0)))</f>
        <v>5</v>
      </c>
      <c r="AA28" s="57" t="n">
        <f aca="false">IF($K$3="Stats brutes",SUMIFS(BASE_DATA!$AJ:$AJ,BASE_DATA!$G:$G,$Q$28,BASE_DATA!$A:$A,INDEX(PARAMS!$D$2:$D$5,MATCH($I$3,PARAMS!$C$2:$C$5,0))),IF($K$3="Par minute jouée",IFERROR(SUMIFS(BASE_DATA!$AJ:$AJ,BASE_DATA!$G:$G,$Q$28,BASE_DATA!$A:$A,INDEX(PARAMS!$D$2:$D$5,MATCH($I$3,PARAMS!$C$2:$C$5,0)))/SUMIFS(BASE_DATA!$R:$R,BASE_DATA!$G:$G,$Q$28,BASE_DATA!$A:$A,INDEX(PARAMS!$D$2:$D$5,MATCH($I$3,PARAMS!$C$2:$C$5,0))),0),IFERROR(SUMIFS(BASE_DATA!$AJ:$AJ,BASE_DATA!$G:$G,$Q$28,BASE_DATA!$A:$A,INDEX(PARAMS!$D$2:$D$5,MATCH($I$3,PARAMS!$C$2:$C$5,0)))/SUMIFS(BASE_DATA!$R:$R,BASE_DATA!$G:$G,$Q$28,BASE_DATA!$A:$A,INDEX(PARAMS!$D$2:$D$5,MATCH($I$3,PARAMS!$C$2:$C$5,0)))*40,0)))</f>
        <v>1</v>
      </c>
      <c r="AB28" s="57" t="n">
        <f aca="false">IF($K$3="Stats brutes",SUMIFS(BASE_DATA!$AK:$AK,BASE_DATA!$G:$G,$Q$28,BASE_DATA!$A:$A,INDEX(PARAMS!$D$2:$D$5,MATCH($I$3,PARAMS!$C$2:$C$5,0))),IF($K$3="Par minute jouée",IFERROR(SUMIFS(BASE_DATA!$AK:$AK,BASE_DATA!$G:$G,$Q$28,BASE_DATA!$A:$A,INDEX(PARAMS!$D$2:$D$5,MATCH($I$3,PARAMS!$C$2:$C$5,0)))/SUMIFS(BASE_DATA!$R:$R,BASE_DATA!$G:$G,$Q$28,BASE_DATA!$A:$A,INDEX(PARAMS!$D$2:$D$5,MATCH($I$3,PARAMS!$C$2:$C$5,0))),0),IFERROR(SUMIFS(BASE_DATA!$AK:$AK,BASE_DATA!$G:$G,$Q$28,BASE_DATA!$A:$A,INDEX(PARAMS!$D$2:$D$5,MATCH($I$3,PARAMS!$C$2:$C$5,0)))/SUMIFS(BASE_DATA!$R:$R,BASE_DATA!$G:$G,$Q$28,BASE_DATA!$A:$A,INDEX(PARAMS!$D$2:$D$5,MATCH($I$3,PARAMS!$C$2:$C$5,0)))*40,0)))</f>
        <v>1</v>
      </c>
      <c r="AC28" s="58" t="n">
        <f aca="false">SUMIFS(BASE_DATA!$R:$R,BASE_DATA!$G:$G,$Q$28,BASE_DATA!$A:$A,INDEX(PARAMS!$D$2:$D$5,MATCH($I$3,PARAMS!$C$2:$C$5,0)))</f>
        <v>11.4833</v>
      </c>
      <c r="AD28" s="59" t="n">
        <f aca="false">COUNTIFS(BASE_DATA!$G:$G,$Q$28,BASE_DATA!$A:$A,INDEX(PARAMS!$D$2:$D$5,MATCH($I$3,PARAMS!$C$2:$C$5,0)))</f>
        <v>1</v>
      </c>
    </row>
    <row r="29" customFormat="false" ht="15" hidden="false" customHeight="true" outlineLevel="0" collapsed="false">
      <c r="B29" s="86" t="s">
        <v>143</v>
      </c>
      <c r="C29" s="87" t="n">
        <f aca="false">IFERROR(VLOOKUP($C$5,$Q$1:$AD$20,5,FALSE()),0)</f>
        <v>1</v>
      </c>
      <c r="D29" s="88" t="n">
        <f aca="false">IFERROR(VLOOKUP($C$5,$Q$25:$AD$44,5,FALSE()),0)</f>
        <v>3</v>
      </c>
      <c r="E29" s="87" t="n">
        <f aca="false">IFERROR(VLOOKUP($F$5,$Q$1:$AD$20,5,FALSE()),0)</f>
        <v>3</v>
      </c>
      <c r="F29" s="88" t="n">
        <f aca="false">IFERROR(VLOOKUP($F$5,$Q$25:$AD$44,5,FALSE()),0)</f>
        <v>4</v>
      </c>
      <c r="G29" s="87" t="n">
        <f aca="false">IFERROR(VLOOKUP($I$5,$Q$1:$AD$20,5,FALSE()),0)</f>
        <v>5</v>
      </c>
      <c r="H29" s="88" t="n">
        <f aca="false">IFERROR(VLOOKUP($I$5,$Q$25:$AD$44,5,FALSE()),0)</f>
        <v>0</v>
      </c>
      <c r="Q29" s="56" t="s">
        <v>35</v>
      </c>
      <c r="R29" s="57" t="n">
        <f aca="false">IF($K$3="Stats brutes",SUMIFS(BASE_DATA!$T:$T,BASE_DATA!$G:$G,$Q$29,BASE_DATA!$A:$A,INDEX(PARAMS!$D$2:$D$5,MATCH($I$3,PARAMS!$C$2:$C$5,0))),IF($K$3="Par minute jouée",IFERROR(SUMIFS(BASE_DATA!$T:$T,BASE_DATA!$G:$G,$Q$29,BASE_DATA!$A:$A,INDEX(PARAMS!$D$2:$D$5,MATCH($I$3,PARAMS!$C$2:$C$5,0)))/SUMIFS(BASE_DATA!$R:$R,BASE_DATA!$G:$G,$Q$29,BASE_DATA!$A:$A,INDEX(PARAMS!$D$2:$D$5,MATCH($I$3,PARAMS!$C$2:$C$5,0))),0),IFERROR(SUMIFS(BASE_DATA!$T:$T,BASE_DATA!$G:$G,$Q$29,BASE_DATA!$A:$A,INDEX(PARAMS!$D$2:$D$5,MATCH($I$3,PARAMS!$C$2:$C$5,0)))/SUMIFS(BASE_DATA!$R:$R,BASE_DATA!$G:$G,$Q$29,BASE_DATA!$A:$A,INDEX(PARAMS!$D$2:$D$5,MATCH($I$3,PARAMS!$C$2:$C$5,0)))*40,0)))</f>
        <v>0</v>
      </c>
      <c r="S29" s="57" t="n">
        <f aca="false">IF($K$3="Stats brutes",SUMIFS(BASE_DATA!$U:$U,BASE_DATA!$G:$G,$Q$29,BASE_DATA!$A:$A,INDEX(PARAMS!$D$2:$D$5,MATCH($I$3,PARAMS!$C$2:$C$5,0))),IF($K$3="Par minute jouée",IFERROR(SUMIFS(BASE_DATA!$U:$U,BASE_DATA!$G:$G,$Q$29,BASE_DATA!$A:$A,INDEX(PARAMS!$D$2:$D$5,MATCH($I$3,PARAMS!$C$2:$C$5,0)))/SUMIFS(BASE_DATA!$R:$R,BASE_DATA!$G:$G,$Q$29,BASE_DATA!$A:$A,INDEX(PARAMS!$D$2:$D$5,MATCH($I$3,PARAMS!$C$2:$C$5,0))),0),IFERROR(SUMIFS(BASE_DATA!$U:$U,BASE_DATA!$G:$G,$Q$29,BASE_DATA!$A:$A,INDEX(PARAMS!$D$2:$D$5,MATCH($I$3,PARAMS!$C$2:$C$5,0)))/SUMIFS(BASE_DATA!$R:$R,BASE_DATA!$G:$G,$Q$29,BASE_DATA!$A:$A,INDEX(PARAMS!$D$2:$D$5,MATCH($I$3,PARAMS!$C$2:$C$5,0)))*40,0)))</f>
        <v>0</v>
      </c>
      <c r="T29" s="57" t="n">
        <f aca="false">IF($K$3="Stats brutes",SUMIFS(BASE_DATA!$V:$V,BASE_DATA!$G:$G,$Q$29,BASE_DATA!$A:$A,INDEX(PARAMS!$D$2:$D$5,MATCH($I$3,PARAMS!$C$2:$C$5,0))),IF($K$3="Par minute jouée",IFERROR(SUMIFS(BASE_DATA!$V:$V,BASE_DATA!$G:$G,$Q$29,BASE_DATA!$A:$A,INDEX(PARAMS!$D$2:$D$5,MATCH($I$3,PARAMS!$C$2:$C$5,0)))/SUMIFS(BASE_DATA!$R:$R,BASE_DATA!$G:$G,$Q$29,BASE_DATA!$A:$A,INDEX(PARAMS!$D$2:$D$5,MATCH($I$3,PARAMS!$C$2:$C$5,0))),0),IFERROR(SUMIFS(BASE_DATA!$V:$V,BASE_DATA!$G:$G,$Q$29,BASE_DATA!$A:$A,INDEX(PARAMS!$D$2:$D$5,MATCH($I$3,PARAMS!$C$2:$C$5,0)))/SUMIFS(BASE_DATA!$R:$R,BASE_DATA!$G:$G,$Q$29,BASE_DATA!$A:$A,INDEX(PARAMS!$D$2:$D$5,MATCH($I$3,PARAMS!$C$2:$C$5,0)))*40,0)))</f>
        <v>8</v>
      </c>
      <c r="U29" s="57" t="n">
        <f aca="false">IF($K$3="Stats brutes",SUMIFS(BASE_DATA!$W:$W,BASE_DATA!$G:$G,$Q$29,BASE_DATA!$A:$A,INDEX(PARAMS!$D$2:$D$5,MATCH($I$3,PARAMS!$C$2:$C$5,0))),IF($K$3="Par minute jouée",IFERROR(SUMIFS(BASE_DATA!$W:$W,BASE_DATA!$G:$G,$Q$29,BASE_DATA!$A:$A,INDEX(PARAMS!$D$2:$D$5,MATCH($I$3,PARAMS!$C$2:$C$5,0)))/SUMIFS(BASE_DATA!$R:$R,BASE_DATA!$G:$G,$Q$29,BASE_DATA!$A:$A,INDEX(PARAMS!$D$2:$D$5,MATCH($I$3,PARAMS!$C$2:$C$5,0))),0),IFERROR(SUMIFS(BASE_DATA!$W:$W,BASE_DATA!$G:$G,$Q$29,BASE_DATA!$A:$A,INDEX(PARAMS!$D$2:$D$5,MATCH($I$3,PARAMS!$C$2:$C$5,0)))/SUMIFS(BASE_DATA!$R:$R,BASE_DATA!$G:$G,$Q$29,BASE_DATA!$A:$A,INDEX(PARAMS!$D$2:$D$5,MATCH($I$3,PARAMS!$C$2:$C$5,0)))*40,0)))</f>
        <v>3</v>
      </c>
      <c r="V29" s="57" t="n">
        <f aca="false">IF($K$3="Stats brutes",SUMIFS(BASE_DATA!$AN:$AN,BASE_DATA!$G:$G,$Q$29,BASE_DATA!$A:$A,INDEX(PARAMS!$D$2:$D$5,MATCH($I$3,PARAMS!$C$2:$C$5,0))),IF($K$3="Par minute jouée",IFERROR(SUMIFS(BASE_DATA!$AN:$AN,BASE_DATA!$G:$G,$Q$29,BASE_DATA!$A:$A,INDEX(PARAMS!$D$2:$D$5,MATCH($I$3,PARAMS!$C$2:$C$5,0)))/SUMIFS(BASE_DATA!$R:$R,BASE_DATA!$G:$G,$Q$29,BASE_DATA!$A:$A,INDEX(PARAMS!$D$2:$D$5,MATCH($I$3,PARAMS!$C$2:$C$5,0))),0),IFERROR(SUMIFS(BASE_DATA!$AN:$AN,BASE_DATA!$G:$G,$Q$29,BASE_DATA!$A:$A,INDEX(PARAMS!$D$2:$D$5,MATCH($I$3,PARAMS!$C$2:$C$5,0)))/SUMIFS(BASE_DATA!$R:$R,BASE_DATA!$G:$G,$Q$29,BASE_DATA!$A:$A,INDEX(PARAMS!$D$2:$D$5,MATCH($I$3,PARAMS!$C$2:$C$5,0)))*40,0)))</f>
        <v>5</v>
      </c>
      <c r="W29" s="57" t="n">
        <f aca="false">IF($K$3="Stats brutes",SUMIFS(BASE_DATA!$AO:$AO,BASE_DATA!$G:$G,$Q$29,BASE_DATA!$A:$A,INDEX(PARAMS!$D$2:$D$5,MATCH($I$3,PARAMS!$C$2:$C$5,0))),IF($K$3="Par minute jouée",IFERROR(SUMIFS(BASE_DATA!$AO:$AO,BASE_DATA!$G:$G,$Q$29,BASE_DATA!$A:$A,INDEX(PARAMS!$D$2:$D$5,MATCH($I$3,PARAMS!$C$2:$C$5,0)))/SUMIFS(BASE_DATA!$R:$R,BASE_DATA!$G:$G,$Q$29,BASE_DATA!$A:$A,INDEX(PARAMS!$D$2:$D$5,MATCH($I$3,PARAMS!$C$2:$C$5,0))),0),IFERROR(SUMIFS(BASE_DATA!$AO:$AO,BASE_DATA!$G:$G,$Q$29,BASE_DATA!$A:$A,INDEX(PARAMS!$D$2:$D$5,MATCH($I$3,PARAMS!$C$2:$C$5,0)))/SUMIFS(BASE_DATA!$R:$R,BASE_DATA!$G:$G,$Q$29,BASE_DATA!$A:$A,INDEX(PARAMS!$D$2:$D$5,MATCH($I$3,PARAMS!$C$2:$C$5,0)))*40,0)))</f>
        <v>1</v>
      </c>
      <c r="X29" s="57" t="n">
        <f aca="false">IF($K$3="Stats brutes",SUMIFS(BASE_DATA!$AA:$AA,BASE_DATA!$G:$G,$Q$29,BASE_DATA!$A:$A,INDEX(PARAMS!$D$2:$D$5,MATCH($I$3,PARAMS!$C$2:$C$5,0))),IF($K$3="Par minute jouée",IFERROR(SUMIFS(BASE_DATA!$AA:$AA,BASE_DATA!$G:$G,$Q$29,BASE_DATA!$A:$A,INDEX(PARAMS!$D$2:$D$5,MATCH($I$3,PARAMS!$C$2:$C$5,0)))/SUMIFS(BASE_DATA!$R:$R,BASE_DATA!$G:$G,$Q$29,BASE_DATA!$A:$A,INDEX(PARAMS!$D$2:$D$5,MATCH($I$3,PARAMS!$C$2:$C$5,0))),0),IFERROR(SUMIFS(BASE_DATA!$AA:$AA,BASE_DATA!$G:$G,$Q$29,BASE_DATA!$A:$A,INDEX(PARAMS!$D$2:$D$5,MATCH($I$3,PARAMS!$C$2:$C$5,0)))/SUMIFS(BASE_DATA!$R:$R,BASE_DATA!$G:$G,$Q$29,BASE_DATA!$A:$A,INDEX(PARAMS!$D$2:$D$5,MATCH($I$3,PARAMS!$C$2:$C$5,0)))*40,0)))</f>
        <v>11</v>
      </c>
      <c r="Y29" s="57" t="n">
        <f aca="false">IF($K$3="Stats brutes",SUMIFS(BASE_DATA!$AH:$AH,BASE_DATA!$G:$G,$Q$29,BASE_DATA!$A:$A,INDEX(PARAMS!$D$2:$D$5,MATCH($I$3,PARAMS!$C$2:$C$5,0))),IF($K$3="Par minute jouée",IFERROR(SUMIFS(BASE_DATA!$AH:$AH,BASE_DATA!$G:$G,$Q$29,BASE_DATA!$A:$A,INDEX(PARAMS!$D$2:$D$5,MATCH($I$3,PARAMS!$C$2:$C$5,0)))/SUMIFS(BASE_DATA!$R:$R,BASE_DATA!$G:$G,$Q$29,BASE_DATA!$A:$A,INDEX(PARAMS!$D$2:$D$5,MATCH($I$3,PARAMS!$C$2:$C$5,0))),0),IFERROR(SUMIFS(BASE_DATA!$AH:$AH,BASE_DATA!$G:$G,$Q$29,BASE_DATA!$A:$A,INDEX(PARAMS!$D$2:$D$5,MATCH($I$3,PARAMS!$C$2:$C$5,0)))/SUMIFS(BASE_DATA!$R:$R,BASE_DATA!$G:$G,$Q$29,BASE_DATA!$A:$A,INDEX(PARAMS!$D$2:$D$5,MATCH($I$3,PARAMS!$C$2:$C$5,0)))*40,0)))</f>
        <v>3</v>
      </c>
      <c r="Z29" s="57" t="n">
        <f aca="false">IF($K$3="Stats brutes",SUMIFS(BASE_DATA!$AI:$AI,BASE_DATA!$G:$G,$Q$29,BASE_DATA!$A:$A,INDEX(PARAMS!$D$2:$D$5,MATCH($I$3,PARAMS!$C$2:$C$5,0))),IF($K$3="Par minute jouée",IFERROR(SUMIFS(BASE_DATA!$AI:$AI,BASE_DATA!$G:$G,$Q$29,BASE_DATA!$A:$A,INDEX(PARAMS!$D$2:$D$5,MATCH($I$3,PARAMS!$C$2:$C$5,0)))/SUMIFS(BASE_DATA!$R:$R,BASE_DATA!$G:$G,$Q$29,BASE_DATA!$A:$A,INDEX(PARAMS!$D$2:$D$5,MATCH($I$3,PARAMS!$C$2:$C$5,0))),0),IFERROR(SUMIFS(BASE_DATA!$AI:$AI,BASE_DATA!$G:$G,$Q$29,BASE_DATA!$A:$A,INDEX(PARAMS!$D$2:$D$5,MATCH($I$3,PARAMS!$C$2:$C$5,0)))/SUMIFS(BASE_DATA!$R:$R,BASE_DATA!$G:$G,$Q$29,BASE_DATA!$A:$A,INDEX(PARAMS!$D$2:$D$5,MATCH($I$3,PARAMS!$C$2:$C$5,0)))*40,0)))</f>
        <v>7</v>
      </c>
      <c r="AA29" s="57" t="n">
        <f aca="false">IF($K$3="Stats brutes",SUMIFS(BASE_DATA!$AJ:$AJ,BASE_DATA!$G:$G,$Q$29,BASE_DATA!$A:$A,INDEX(PARAMS!$D$2:$D$5,MATCH($I$3,PARAMS!$C$2:$C$5,0))),IF($K$3="Par minute jouée",IFERROR(SUMIFS(BASE_DATA!$AJ:$AJ,BASE_DATA!$G:$G,$Q$29,BASE_DATA!$A:$A,INDEX(PARAMS!$D$2:$D$5,MATCH($I$3,PARAMS!$C$2:$C$5,0)))/SUMIFS(BASE_DATA!$R:$R,BASE_DATA!$G:$G,$Q$29,BASE_DATA!$A:$A,INDEX(PARAMS!$D$2:$D$5,MATCH($I$3,PARAMS!$C$2:$C$5,0))),0),IFERROR(SUMIFS(BASE_DATA!$AJ:$AJ,BASE_DATA!$G:$G,$Q$29,BASE_DATA!$A:$A,INDEX(PARAMS!$D$2:$D$5,MATCH($I$3,PARAMS!$C$2:$C$5,0)))/SUMIFS(BASE_DATA!$R:$R,BASE_DATA!$G:$G,$Q$29,BASE_DATA!$A:$A,INDEX(PARAMS!$D$2:$D$5,MATCH($I$3,PARAMS!$C$2:$C$5,0)))*40,0)))</f>
        <v>4</v>
      </c>
      <c r="AB29" s="57" t="n">
        <f aca="false">IF($K$3="Stats brutes",SUMIFS(BASE_DATA!$AK:$AK,BASE_DATA!$G:$G,$Q$29,BASE_DATA!$A:$A,INDEX(PARAMS!$D$2:$D$5,MATCH($I$3,PARAMS!$C$2:$C$5,0))),IF($K$3="Par minute jouée",IFERROR(SUMIFS(BASE_DATA!$AK:$AK,BASE_DATA!$G:$G,$Q$29,BASE_DATA!$A:$A,INDEX(PARAMS!$D$2:$D$5,MATCH($I$3,PARAMS!$C$2:$C$5,0)))/SUMIFS(BASE_DATA!$R:$R,BASE_DATA!$G:$G,$Q$29,BASE_DATA!$A:$A,INDEX(PARAMS!$D$2:$D$5,MATCH($I$3,PARAMS!$C$2:$C$5,0))),0),IFERROR(SUMIFS(BASE_DATA!$AK:$AK,BASE_DATA!$G:$G,$Q$29,BASE_DATA!$A:$A,INDEX(PARAMS!$D$2:$D$5,MATCH($I$3,PARAMS!$C$2:$C$5,0)))/SUMIFS(BASE_DATA!$R:$R,BASE_DATA!$G:$G,$Q$29,BASE_DATA!$A:$A,INDEX(PARAMS!$D$2:$D$5,MATCH($I$3,PARAMS!$C$2:$C$5,0)))*40,0)))</f>
        <v>6</v>
      </c>
      <c r="AC29" s="58" t="n">
        <f aca="false">SUMIFS(BASE_DATA!$R:$R,BASE_DATA!$G:$G,$Q$29,BASE_DATA!$A:$A,INDEX(PARAMS!$D$2:$D$5,MATCH($I$3,PARAMS!$C$2:$C$5,0)))</f>
        <v>17.4667</v>
      </c>
      <c r="AD29" s="59" t="n">
        <f aca="false">COUNTIFS(BASE_DATA!$G:$G,$Q$29,BASE_DATA!$A:$A,INDEX(PARAMS!$D$2:$D$5,MATCH($I$3,PARAMS!$C$2:$C$5,0)))</f>
        <v>1</v>
      </c>
    </row>
    <row r="30" customFormat="false" ht="15" hidden="false" customHeight="false" outlineLevel="0" collapsed="false">
      <c r="B30" s="86" t="s">
        <v>55</v>
      </c>
      <c r="C30" s="87" t="n">
        <f aca="false">IFERROR(VLOOKUP($C$5,$Q$1:$AD$20,6,FALSE()),0)</f>
        <v>0</v>
      </c>
      <c r="D30" s="88" t="n">
        <f aca="false">IFERROR(VLOOKUP($C$5,$Q$25:$AD$44,6,FALSE()),0)</f>
        <v>6</v>
      </c>
      <c r="E30" s="87" t="n">
        <f aca="false">IFERROR(VLOOKUP($F$5,$Q$1:$AD$20,6,FALSE()),0)</f>
        <v>1</v>
      </c>
      <c r="F30" s="88" t="n">
        <f aca="false">IFERROR(VLOOKUP($F$5,$Q$25:$AD$44,6,FALSE()),0)</f>
        <v>4</v>
      </c>
      <c r="G30" s="87" t="n">
        <f aca="false">IFERROR(VLOOKUP($I$5,$Q$1:$AD$20,6,FALSE()),0)</f>
        <v>1</v>
      </c>
      <c r="H30" s="88" t="n">
        <f aca="false">IFERROR(VLOOKUP($I$5,$Q$25:$AD$44,6,FALSE()),0)</f>
        <v>0</v>
      </c>
      <c r="Q30" s="56" t="s">
        <v>27</v>
      </c>
      <c r="R30" s="57" t="n">
        <f aca="false">IF($K$3="Stats brutes",SUMIFS(BASE_DATA!$T:$T,BASE_DATA!$G:$G,$Q$30,BASE_DATA!$A:$A,INDEX(PARAMS!$D$2:$D$5,MATCH($I$3,PARAMS!$C$2:$C$5,0))),IF($K$3="Par minute jouée",IFERROR(SUMIFS(BASE_DATA!$T:$T,BASE_DATA!$G:$G,$Q$30,BASE_DATA!$A:$A,INDEX(PARAMS!$D$2:$D$5,MATCH($I$3,PARAMS!$C$2:$C$5,0)))/SUMIFS(BASE_DATA!$R:$R,BASE_DATA!$G:$G,$Q$30,BASE_DATA!$A:$A,INDEX(PARAMS!$D$2:$D$5,MATCH($I$3,PARAMS!$C$2:$C$5,0))),0),IFERROR(SUMIFS(BASE_DATA!$T:$T,BASE_DATA!$G:$G,$Q$30,BASE_DATA!$A:$A,INDEX(PARAMS!$D$2:$D$5,MATCH($I$3,PARAMS!$C$2:$C$5,0)))/SUMIFS(BASE_DATA!$R:$R,BASE_DATA!$G:$G,$Q$30,BASE_DATA!$A:$A,INDEX(PARAMS!$D$2:$D$5,MATCH($I$3,PARAMS!$C$2:$C$5,0)))*40,0)))</f>
        <v>0</v>
      </c>
      <c r="S30" s="57" t="n">
        <f aca="false">IF($K$3="Stats brutes",SUMIFS(BASE_DATA!$U:$U,BASE_DATA!$G:$G,$Q$30,BASE_DATA!$A:$A,INDEX(PARAMS!$D$2:$D$5,MATCH($I$3,PARAMS!$C$2:$C$5,0))),IF($K$3="Par minute jouée",IFERROR(SUMIFS(BASE_DATA!$U:$U,BASE_DATA!$G:$G,$Q$30,BASE_DATA!$A:$A,INDEX(PARAMS!$D$2:$D$5,MATCH($I$3,PARAMS!$C$2:$C$5,0)))/SUMIFS(BASE_DATA!$R:$R,BASE_DATA!$G:$G,$Q$30,BASE_DATA!$A:$A,INDEX(PARAMS!$D$2:$D$5,MATCH($I$3,PARAMS!$C$2:$C$5,0))),0),IFERROR(SUMIFS(BASE_DATA!$U:$U,BASE_DATA!$G:$G,$Q$30,BASE_DATA!$A:$A,INDEX(PARAMS!$D$2:$D$5,MATCH($I$3,PARAMS!$C$2:$C$5,0)))/SUMIFS(BASE_DATA!$R:$R,BASE_DATA!$G:$G,$Q$30,BASE_DATA!$A:$A,INDEX(PARAMS!$D$2:$D$5,MATCH($I$3,PARAMS!$C$2:$C$5,0)))*40,0)))</f>
        <v>0</v>
      </c>
      <c r="T30" s="57" t="n">
        <f aca="false">IF($K$3="Stats brutes",SUMIFS(BASE_DATA!$V:$V,BASE_DATA!$G:$G,$Q$30,BASE_DATA!$A:$A,INDEX(PARAMS!$D$2:$D$5,MATCH($I$3,PARAMS!$C$2:$C$5,0))),IF($K$3="Par minute jouée",IFERROR(SUMIFS(BASE_DATA!$V:$V,BASE_DATA!$G:$G,$Q$30,BASE_DATA!$A:$A,INDEX(PARAMS!$D$2:$D$5,MATCH($I$3,PARAMS!$C$2:$C$5,0)))/SUMIFS(BASE_DATA!$R:$R,BASE_DATA!$G:$G,$Q$30,BASE_DATA!$A:$A,INDEX(PARAMS!$D$2:$D$5,MATCH($I$3,PARAMS!$C$2:$C$5,0))),0),IFERROR(SUMIFS(BASE_DATA!$V:$V,BASE_DATA!$G:$G,$Q$30,BASE_DATA!$A:$A,INDEX(PARAMS!$D$2:$D$5,MATCH($I$3,PARAMS!$C$2:$C$5,0)))/SUMIFS(BASE_DATA!$R:$R,BASE_DATA!$G:$G,$Q$30,BASE_DATA!$A:$A,INDEX(PARAMS!$D$2:$D$5,MATCH($I$3,PARAMS!$C$2:$C$5,0)))*40,0)))</f>
        <v>0</v>
      </c>
      <c r="U30" s="57" t="n">
        <f aca="false">IF($K$3="Stats brutes",SUMIFS(BASE_DATA!$W:$W,BASE_DATA!$G:$G,$Q$30,BASE_DATA!$A:$A,INDEX(PARAMS!$D$2:$D$5,MATCH($I$3,PARAMS!$C$2:$C$5,0))),IF($K$3="Par minute jouée",IFERROR(SUMIFS(BASE_DATA!$W:$W,BASE_DATA!$G:$G,$Q$30,BASE_DATA!$A:$A,INDEX(PARAMS!$D$2:$D$5,MATCH($I$3,PARAMS!$C$2:$C$5,0)))/SUMIFS(BASE_DATA!$R:$R,BASE_DATA!$G:$G,$Q$30,BASE_DATA!$A:$A,INDEX(PARAMS!$D$2:$D$5,MATCH($I$3,PARAMS!$C$2:$C$5,0))),0),IFERROR(SUMIFS(BASE_DATA!$W:$W,BASE_DATA!$G:$G,$Q$30,BASE_DATA!$A:$A,INDEX(PARAMS!$D$2:$D$5,MATCH($I$3,PARAMS!$C$2:$C$5,0)))/SUMIFS(BASE_DATA!$R:$R,BASE_DATA!$G:$G,$Q$30,BASE_DATA!$A:$A,INDEX(PARAMS!$D$2:$D$5,MATCH($I$3,PARAMS!$C$2:$C$5,0)))*40,0)))</f>
        <v>0</v>
      </c>
      <c r="V30" s="57" t="n">
        <f aca="false">IF($K$3="Stats brutes",SUMIFS(BASE_DATA!$AN:$AN,BASE_DATA!$G:$G,$Q$30,BASE_DATA!$A:$A,INDEX(PARAMS!$D$2:$D$5,MATCH($I$3,PARAMS!$C$2:$C$5,0))),IF($K$3="Par minute jouée",IFERROR(SUMIFS(BASE_DATA!$AN:$AN,BASE_DATA!$G:$G,$Q$30,BASE_DATA!$A:$A,INDEX(PARAMS!$D$2:$D$5,MATCH($I$3,PARAMS!$C$2:$C$5,0)))/SUMIFS(BASE_DATA!$R:$R,BASE_DATA!$G:$G,$Q$30,BASE_DATA!$A:$A,INDEX(PARAMS!$D$2:$D$5,MATCH($I$3,PARAMS!$C$2:$C$5,0))),0),IFERROR(SUMIFS(BASE_DATA!$AN:$AN,BASE_DATA!$G:$G,$Q$30,BASE_DATA!$A:$A,INDEX(PARAMS!$D$2:$D$5,MATCH($I$3,PARAMS!$C$2:$C$5,0)))/SUMIFS(BASE_DATA!$R:$R,BASE_DATA!$G:$G,$Q$30,BASE_DATA!$A:$A,INDEX(PARAMS!$D$2:$D$5,MATCH($I$3,PARAMS!$C$2:$C$5,0)))*40,0)))</f>
        <v>0</v>
      </c>
      <c r="W30" s="57" t="n">
        <f aca="false">IF($K$3="Stats brutes",SUMIFS(BASE_DATA!$AO:$AO,BASE_DATA!$G:$G,$Q$30,BASE_DATA!$A:$A,INDEX(PARAMS!$D$2:$D$5,MATCH($I$3,PARAMS!$C$2:$C$5,0))),IF($K$3="Par minute jouée",IFERROR(SUMIFS(BASE_DATA!$AO:$AO,BASE_DATA!$G:$G,$Q$30,BASE_DATA!$A:$A,INDEX(PARAMS!$D$2:$D$5,MATCH($I$3,PARAMS!$C$2:$C$5,0)))/SUMIFS(BASE_DATA!$R:$R,BASE_DATA!$G:$G,$Q$30,BASE_DATA!$A:$A,INDEX(PARAMS!$D$2:$D$5,MATCH($I$3,PARAMS!$C$2:$C$5,0))),0),IFERROR(SUMIFS(BASE_DATA!$AO:$AO,BASE_DATA!$G:$G,$Q$30,BASE_DATA!$A:$A,INDEX(PARAMS!$D$2:$D$5,MATCH($I$3,PARAMS!$C$2:$C$5,0)))/SUMIFS(BASE_DATA!$R:$R,BASE_DATA!$G:$G,$Q$30,BASE_DATA!$A:$A,INDEX(PARAMS!$D$2:$D$5,MATCH($I$3,PARAMS!$C$2:$C$5,0)))*40,0)))</f>
        <v>0</v>
      </c>
      <c r="X30" s="57" t="n">
        <f aca="false">IF($K$3="Stats brutes",SUMIFS(BASE_DATA!$AA:$AA,BASE_DATA!$G:$G,$Q$30,BASE_DATA!$A:$A,INDEX(PARAMS!$D$2:$D$5,MATCH($I$3,PARAMS!$C$2:$C$5,0))),IF($K$3="Par minute jouée",IFERROR(SUMIFS(BASE_DATA!$AA:$AA,BASE_DATA!$G:$G,$Q$30,BASE_DATA!$A:$A,INDEX(PARAMS!$D$2:$D$5,MATCH($I$3,PARAMS!$C$2:$C$5,0)))/SUMIFS(BASE_DATA!$R:$R,BASE_DATA!$G:$G,$Q$30,BASE_DATA!$A:$A,INDEX(PARAMS!$D$2:$D$5,MATCH($I$3,PARAMS!$C$2:$C$5,0))),0),IFERROR(SUMIFS(BASE_DATA!$AA:$AA,BASE_DATA!$G:$G,$Q$30,BASE_DATA!$A:$A,INDEX(PARAMS!$D$2:$D$5,MATCH($I$3,PARAMS!$C$2:$C$5,0)))/SUMIFS(BASE_DATA!$R:$R,BASE_DATA!$G:$G,$Q$30,BASE_DATA!$A:$A,INDEX(PARAMS!$D$2:$D$5,MATCH($I$3,PARAMS!$C$2:$C$5,0)))*40,0)))</f>
        <v>0</v>
      </c>
      <c r="Y30" s="57" t="n">
        <f aca="false">IF($K$3="Stats brutes",SUMIFS(BASE_DATA!$AH:$AH,BASE_DATA!$G:$G,$Q$30,BASE_DATA!$A:$A,INDEX(PARAMS!$D$2:$D$5,MATCH($I$3,PARAMS!$C$2:$C$5,0))),IF($K$3="Par minute jouée",IFERROR(SUMIFS(BASE_DATA!$AH:$AH,BASE_DATA!$G:$G,$Q$30,BASE_DATA!$A:$A,INDEX(PARAMS!$D$2:$D$5,MATCH($I$3,PARAMS!$C$2:$C$5,0)))/SUMIFS(BASE_DATA!$R:$R,BASE_DATA!$G:$G,$Q$30,BASE_DATA!$A:$A,INDEX(PARAMS!$D$2:$D$5,MATCH($I$3,PARAMS!$C$2:$C$5,0))),0),IFERROR(SUMIFS(BASE_DATA!$AH:$AH,BASE_DATA!$G:$G,$Q$30,BASE_DATA!$A:$A,INDEX(PARAMS!$D$2:$D$5,MATCH($I$3,PARAMS!$C$2:$C$5,0)))/SUMIFS(BASE_DATA!$R:$R,BASE_DATA!$G:$G,$Q$30,BASE_DATA!$A:$A,INDEX(PARAMS!$D$2:$D$5,MATCH($I$3,PARAMS!$C$2:$C$5,0)))*40,0)))</f>
        <v>0</v>
      </c>
      <c r="Z30" s="57" t="n">
        <f aca="false">IF($K$3="Stats brutes",SUMIFS(BASE_DATA!$AI:$AI,BASE_DATA!$G:$G,$Q$30,BASE_DATA!$A:$A,INDEX(PARAMS!$D$2:$D$5,MATCH($I$3,PARAMS!$C$2:$C$5,0))),IF($K$3="Par minute jouée",IFERROR(SUMIFS(BASE_DATA!$AI:$AI,BASE_DATA!$G:$G,$Q$30,BASE_DATA!$A:$A,INDEX(PARAMS!$D$2:$D$5,MATCH($I$3,PARAMS!$C$2:$C$5,0)))/SUMIFS(BASE_DATA!$R:$R,BASE_DATA!$G:$G,$Q$30,BASE_DATA!$A:$A,INDEX(PARAMS!$D$2:$D$5,MATCH($I$3,PARAMS!$C$2:$C$5,0))),0),IFERROR(SUMIFS(BASE_DATA!$AI:$AI,BASE_DATA!$G:$G,$Q$30,BASE_DATA!$A:$A,INDEX(PARAMS!$D$2:$D$5,MATCH($I$3,PARAMS!$C$2:$C$5,0)))/SUMIFS(BASE_DATA!$R:$R,BASE_DATA!$G:$G,$Q$30,BASE_DATA!$A:$A,INDEX(PARAMS!$D$2:$D$5,MATCH($I$3,PARAMS!$C$2:$C$5,0)))*40,0)))</f>
        <v>0</v>
      </c>
      <c r="AA30" s="57" t="n">
        <f aca="false">IF($K$3="Stats brutes",SUMIFS(BASE_DATA!$AJ:$AJ,BASE_DATA!$G:$G,$Q$30,BASE_DATA!$A:$A,INDEX(PARAMS!$D$2:$D$5,MATCH($I$3,PARAMS!$C$2:$C$5,0))),IF($K$3="Par minute jouée",IFERROR(SUMIFS(BASE_DATA!$AJ:$AJ,BASE_DATA!$G:$G,$Q$30,BASE_DATA!$A:$A,INDEX(PARAMS!$D$2:$D$5,MATCH($I$3,PARAMS!$C$2:$C$5,0)))/SUMIFS(BASE_DATA!$R:$R,BASE_DATA!$G:$G,$Q$30,BASE_DATA!$A:$A,INDEX(PARAMS!$D$2:$D$5,MATCH($I$3,PARAMS!$C$2:$C$5,0))),0),IFERROR(SUMIFS(BASE_DATA!$AJ:$AJ,BASE_DATA!$G:$G,$Q$30,BASE_DATA!$A:$A,INDEX(PARAMS!$D$2:$D$5,MATCH($I$3,PARAMS!$C$2:$C$5,0)))/SUMIFS(BASE_DATA!$R:$R,BASE_DATA!$G:$G,$Q$30,BASE_DATA!$A:$A,INDEX(PARAMS!$D$2:$D$5,MATCH($I$3,PARAMS!$C$2:$C$5,0)))*40,0)))</f>
        <v>0</v>
      </c>
      <c r="AB30" s="57" t="n">
        <f aca="false">IF($K$3="Stats brutes",SUMIFS(BASE_DATA!$AK:$AK,BASE_DATA!$G:$G,$Q$30,BASE_DATA!$A:$A,INDEX(PARAMS!$D$2:$D$5,MATCH($I$3,PARAMS!$C$2:$C$5,0))),IF($K$3="Par minute jouée",IFERROR(SUMIFS(BASE_DATA!$AK:$AK,BASE_DATA!$G:$G,$Q$30,BASE_DATA!$A:$A,INDEX(PARAMS!$D$2:$D$5,MATCH($I$3,PARAMS!$C$2:$C$5,0)))/SUMIFS(BASE_DATA!$R:$R,BASE_DATA!$G:$G,$Q$30,BASE_DATA!$A:$A,INDEX(PARAMS!$D$2:$D$5,MATCH($I$3,PARAMS!$C$2:$C$5,0))),0),IFERROR(SUMIFS(BASE_DATA!$AK:$AK,BASE_DATA!$G:$G,$Q$30,BASE_DATA!$A:$A,INDEX(PARAMS!$D$2:$D$5,MATCH($I$3,PARAMS!$C$2:$C$5,0)))/SUMIFS(BASE_DATA!$R:$R,BASE_DATA!$G:$G,$Q$30,BASE_DATA!$A:$A,INDEX(PARAMS!$D$2:$D$5,MATCH($I$3,PARAMS!$C$2:$C$5,0)))*40,0)))</f>
        <v>0</v>
      </c>
      <c r="AC30" s="58" t="n">
        <f aca="false">SUMIFS(BASE_DATA!$R:$R,BASE_DATA!$G:$G,$Q$30,BASE_DATA!$A:$A,INDEX(PARAMS!$D$2:$D$5,MATCH($I$3,PARAMS!$C$2:$C$5,0)))</f>
        <v>0</v>
      </c>
      <c r="AD30" s="59" t="n">
        <f aca="false">COUNTIFS(BASE_DATA!$G:$G,$Q$30,BASE_DATA!$A:$A,INDEX(PARAMS!$D$2:$D$5,MATCH($I$3,PARAMS!$C$2:$C$5,0)))</f>
        <v>0</v>
      </c>
    </row>
    <row r="31" customFormat="false" ht="15" hidden="false" customHeight="false" outlineLevel="0" collapsed="false">
      <c r="B31" s="86" t="s">
        <v>57</v>
      </c>
      <c r="C31" s="87" t="n">
        <f aca="false">IFERROR(VLOOKUP($C$5,$Q$1:$AD$20,7,FALSE()),0)</f>
        <v>1</v>
      </c>
      <c r="D31" s="88" t="n">
        <f aca="false">IFERROR(VLOOKUP($C$5,$Q$25:$AD$44,7,FALSE()),0)</f>
        <v>1</v>
      </c>
      <c r="E31" s="87" t="n">
        <f aca="false">IFERROR(VLOOKUP($F$5,$Q$1:$AD$20,7,FALSE()),0)</f>
        <v>4</v>
      </c>
      <c r="F31" s="88" t="n">
        <f aca="false">IFERROR(VLOOKUP($F$5,$Q$25:$AD$44,7,FALSE()),0)</f>
        <v>1</v>
      </c>
      <c r="G31" s="87" t="n">
        <f aca="false">IFERROR(VLOOKUP($I$5,$Q$1:$AD$20,7,FALSE()),0)</f>
        <v>2</v>
      </c>
      <c r="H31" s="88" t="n">
        <f aca="false">IFERROR(VLOOKUP($I$5,$Q$25:$AD$44,7,FALSE()),0)</f>
        <v>0</v>
      </c>
      <c r="Q31" s="56" t="s">
        <v>25</v>
      </c>
      <c r="R31" s="57" t="n">
        <f aca="false">IF($K$3="Stats brutes",SUMIFS(BASE_DATA!$T:$T,BASE_DATA!$G:$G,$Q$31,BASE_DATA!$A:$A,INDEX(PARAMS!$D$2:$D$5,MATCH($I$3,PARAMS!$C$2:$C$5,0))),IF($K$3="Par minute jouée",IFERROR(SUMIFS(BASE_DATA!$T:$T,BASE_DATA!$G:$G,$Q$31,BASE_DATA!$A:$A,INDEX(PARAMS!$D$2:$D$5,MATCH($I$3,PARAMS!$C$2:$C$5,0)))/SUMIFS(BASE_DATA!$R:$R,BASE_DATA!$G:$G,$Q$31,BASE_DATA!$A:$A,INDEX(PARAMS!$D$2:$D$5,MATCH($I$3,PARAMS!$C$2:$C$5,0))),0),IFERROR(SUMIFS(BASE_DATA!$T:$T,BASE_DATA!$G:$G,$Q$31,BASE_DATA!$A:$A,INDEX(PARAMS!$D$2:$D$5,MATCH($I$3,PARAMS!$C$2:$C$5,0)))/SUMIFS(BASE_DATA!$R:$R,BASE_DATA!$G:$G,$Q$31,BASE_DATA!$A:$A,INDEX(PARAMS!$D$2:$D$5,MATCH($I$3,PARAMS!$C$2:$C$5,0)))*40,0)))</f>
        <v>0</v>
      </c>
      <c r="S31" s="57" t="n">
        <f aca="false">IF($K$3="Stats brutes",SUMIFS(BASE_DATA!$U:$U,BASE_DATA!$G:$G,$Q$31,BASE_DATA!$A:$A,INDEX(PARAMS!$D$2:$D$5,MATCH($I$3,PARAMS!$C$2:$C$5,0))),IF($K$3="Par minute jouée",IFERROR(SUMIFS(BASE_DATA!$U:$U,BASE_DATA!$G:$G,$Q$31,BASE_DATA!$A:$A,INDEX(PARAMS!$D$2:$D$5,MATCH($I$3,PARAMS!$C$2:$C$5,0)))/SUMIFS(BASE_DATA!$R:$R,BASE_DATA!$G:$G,$Q$31,BASE_DATA!$A:$A,INDEX(PARAMS!$D$2:$D$5,MATCH($I$3,PARAMS!$C$2:$C$5,0))),0),IFERROR(SUMIFS(BASE_DATA!$U:$U,BASE_DATA!$G:$G,$Q$31,BASE_DATA!$A:$A,INDEX(PARAMS!$D$2:$D$5,MATCH($I$3,PARAMS!$C$2:$C$5,0)))/SUMIFS(BASE_DATA!$R:$R,BASE_DATA!$G:$G,$Q$31,BASE_DATA!$A:$A,INDEX(PARAMS!$D$2:$D$5,MATCH($I$3,PARAMS!$C$2:$C$5,0)))*40,0)))</f>
        <v>1</v>
      </c>
      <c r="T31" s="57" t="n">
        <f aca="false">IF($K$3="Stats brutes",SUMIFS(BASE_DATA!$V:$V,BASE_DATA!$G:$G,$Q$31,BASE_DATA!$A:$A,INDEX(PARAMS!$D$2:$D$5,MATCH($I$3,PARAMS!$C$2:$C$5,0))),IF($K$3="Par minute jouée",IFERROR(SUMIFS(BASE_DATA!$V:$V,BASE_DATA!$G:$G,$Q$31,BASE_DATA!$A:$A,INDEX(PARAMS!$D$2:$D$5,MATCH($I$3,PARAMS!$C$2:$C$5,0)))/SUMIFS(BASE_DATA!$R:$R,BASE_DATA!$G:$G,$Q$31,BASE_DATA!$A:$A,INDEX(PARAMS!$D$2:$D$5,MATCH($I$3,PARAMS!$C$2:$C$5,0))),0),IFERROR(SUMIFS(BASE_DATA!$V:$V,BASE_DATA!$G:$G,$Q$31,BASE_DATA!$A:$A,INDEX(PARAMS!$D$2:$D$5,MATCH($I$3,PARAMS!$C$2:$C$5,0)))/SUMIFS(BASE_DATA!$R:$R,BASE_DATA!$G:$G,$Q$31,BASE_DATA!$A:$A,INDEX(PARAMS!$D$2:$D$5,MATCH($I$3,PARAMS!$C$2:$C$5,0)))*40,0)))</f>
        <v>6</v>
      </c>
      <c r="U31" s="57" t="n">
        <f aca="false">IF($K$3="Stats brutes",SUMIFS(BASE_DATA!$W:$W,BASE_DATA!$G:$G,$Q$31,BASE_DATA!$A:$A,INDEX(PARAMS!$D$2:$D$5,MATCH($I$3,PARAMS!$C$2:$C$5,0))),IF($K$3="Par minute jouée",IFERROR(SUMIFS(BASE_DATA!$W:$W,BASE_DATA!$G:$G,$Q$31,BASE_DATA!$A:$A,INDEX(PARAMS!$D$2:$D$5,MATCH($I$3,PARAMS!$C$2:$C$5,0)))/SUMIFS(BASE_DATA!$R:$R,BASE_DATA!$G:$G,$Q$31,BASE_DATA!$A:$A,INDEX(PARAMS!$D$2:$D$5,MATCH($I$3,PARAMS!$C$2:$C$5,0))),0),IFERROR(SUMIFS(BASE_DATA!$W:$W,BASE_DATA!$G:$G,$Q$31,BASE_DATA!$A:$A,INDEX(PARAMS!$D$2:$D$5,MATCH($I$3,PARAMS!$C$2:$C$5,0)))/SUMIFS(BASE_DATA!$R:$R,BASE_DATA!$G:$G,$Q$31,BASE_DATA!$A:$A,INDEX(PARAMS!$D$2:$D$5,MATCH($I$3,PARAMS!$C$2:$C$5,0)))*40,0)))</f>
        <v>1</v>
      </c>
      <c r="V31" s="57" t="n">
        <f aca="false">IF($K$3="Stats brutes",SUMIFS(BASE_DATA!$AN:$AN,BASE_DATA!$G:$G,$Q$31,BASE_DATA!$A:$A,INDEX(PARAMS!$D$2:$D$5,MATCH($I$3,PARAMS!$C$2:$C$5,0))),IF($K$3="Par minute jouée",IFERROR(SUMIFS(BASE_DATA!$AN:$AN,BASE_DATA!$G:$G,$Q$31,BASE_DATA!$A:$A,INDEX(PARAMS!$D$2:$D$5,MATCH($I$3,PARAMS!$C$2:$C$5,0)))/SUMIFS(BASE_DATA!$R:$R,BASE_DATA!$G:$G,$Q$31,BASE_DATA!$A:$A,INDEX(PARAMS!$D$2:$D$5,MATCH($I$3,PARAMS!$C$2:$C$5,0))),0),IFERROR(SUMIFS(BASE_DATA!$AN:$AN,BASE_DATA!$G:$G,$Q$31,BASE_DATA!$A:$A,INDEX(PARAMS!$D$2:$D$5,MATCH($I$3,PARAMS!$C$2:$C$5,0)))/SUMIFS(BASE_DATA!$R:$R,BASE_DATA!$G:$G,$Q$31,BASE_DATA!$A:$A,INDEX(PARAMS!$D$2:$D$5,MATCH($I$3,PARAMS!$C$2:$C$5,0)))*40,0)))</f>
        <v>2</v>
      </c>
      <c r="W31" s="57" t="n">
        <f aca="false">IF($K$3="Stats brutes",SUMIFS(BASE_DATA!$AO:$AO,BASE_DATA!$G:$G,$Q$31,BASE_DATA!$A:$A,INDEX(PARAMS!$D$2:$D$5,MATCH($I$3,PARAMS!$C$2:$C$5,0))),IF($K$3="Par minute jouée",IFERROR(SUMIFS(BASE_DATA!$AO:$AO,BASE_DATA!$G:$G,$Q$31,BASE_DATA!$A:$A,INDEX(PARAMS!$D$2:$D$5,MATCH($I$3,PARAMS!$C$2:$C$5,0)))/SUMIFS(BASE_DATA!$R:$R,BASE_DATA!$G:$G,$Q$31,BASE_DATA!$A:$A,INDEX(PARAMS!$D$2:$D$5,MATCH($I$3,PARAMS!$C$2:$C$5,0))),0),IFERROR(SUMIFS(BASE_DATA!$AO:$AO,BASE_DATA!$G:$G,$Q$31,BASE_DATA!$A:$A,INDEX(PARAMS!$D$2:$D$5,MATCH($I$3,PARAMS!$C$2:$C$5,0)))/SUMIFS(BASE_DATA!$R:$R,BASE_DATA!$G:$G,$Q$31,BASE_DATA!$A:$A,INDEX(PARAMS!$D$2:$D$5,MATCH($I$3,PARAMS!$C$2:$C$5,0)))*40,0)))</f>
        <v>0</v>
      </c>
      <c r="X31" s="57" t="n">
        <f aca="false">IF($K$3="Stats brutes",SUMIFS(BASE_DATA!$AA:$AA,BASE_DATA!$G:$G,$Q$31,BASE_DATA!$A:$A,INDEX(PARAMS!$D$2:$D$5,MATCH($I$3,PARAMS!$C$2:$C$5,0))),IF($K$3="Par minute jouée",IFERROR(SUMIFS(BASE_DATA!$AA:$AA,BASE_DATA!$G:$G,$Q$31,BASE_DATA!$A:$A,INDEX(PARAMS!$D$2:$D$5,MATCH($I$3,PARAMS!$C$2:$C$5,0)))/SUMIFS(BASE_DATA!$R:$R,BASE_DATA!$G:$G,$Q$31,BASE_DATA!$A:$A,INDEX(PARAMS!$D$2:$D$5,MATCH($I$3,PARAMS!$C$2:$C$5,0))),0),IFERROR(SUMIFS(BASE_DATA!$AA:$AA,BASE_DATA!$G:$G,$Q$31,BASE_DATA!$A:$A,INDEX(PARAMS!$D$2:$D$5,MATCH($I$3,PARAMS!$C$2:$C$5,0)))/SUMIFS(BASE_DATA!$R:$R,BASE_DATA!$G:$G,$Q$31,BASE_DATA!$A:$A,INDEX(PARAMS!$D$2:$D$5,MATCH($I$3,PARAMS!$C$2:$C$5,0)))*40,0)))</f>
        <v>5</v>
      </c>
      <c r="Y31" s="57" t="n">
        <f aca="false">IF($K$3="Stats brutes",SUMIFS(BASE_DATA!$AH:$AH,BASE_DATA!$G:$G,$Q$31,BASE_DATA!$A:$A,INDEX(PARAMS!$D$2:$D$5,MATCH($I$3,PARAMS!$C$2:$C$5,0))),IF($K$3="Par minute jouée",IFERROR(SUMIFS(BASE_DATA!$AH:$AH,BASE_DATA!$G:$G,$Q$31,BASE_DATA!$A:$A,INDEX(PARAMS!$D$2:$D$5,MATCH($I$3,PARAMS!$C$2:$C$5,0)))/SUMIFS(BASE_DATA!$R:$R,BASE_DATA!$G:$G,$Q$31,BASE_DATA!$A:$A,INDEX(PARAMS!$D$2:$D$5,MATCH($I$3,PARAMS!$C$2:$C$5,0))),0),IFERROR(SUMIFS(BASE_DATA!$AH:$AH,BASE_DATA!$G:$G,$Q$31,BASE_DATA!$A:$A,INDEX(PARAMS!$D$2:$D$5,MATCH($I$3,PARAMS!$C$2:$C$5,0)))/SUMIFS(BASE_DATA!$R:$R,BASE_DATA!$G:$G,$Q$31,BASE_DATA!$A:$A,INDEX(PARAMS!$D$2:$D$5,MATCH($I$3,PARAMS!$C$2:$C$5,0)))*40,0)))</f>
        <v>0</v>
      </c>
      <c r="Z31" s="57" t="n">
        <f aca="false">IF($K$3="Stats brutes",SUMIFS(BASE_DATA!$AI:$AI,BASE_DATA!$G:$G,$Q$31,BASE_DATA!$A:$A,INDEX(PARAMS!$D$2:$D$5,MATCH($I$3,PARAMS!$C$2:$C$5,0))),IF($K$3="Par minute jouée",IFERROR(SUMIFS(BASE_DATA!$AI:$AI,BASE_DATA!$G:$G,$Q$31,BASE_DATA!$A:$A,INDEX(PARAMS!$D$2:$D$5,MATCH($I$3,PARAMS!$C$2:$C$5,0)))/SUMIFS(BASE_DATA!$R:$R,BASE_DATA!$G:$G,$Q$31,BASE_DATA!$A:$A,INDEX(PARAMS!$D$2:$D$5,MATCH($I$3,PARAMS!$C$2:$C$5,0))),0),IFERROR(SUMIFS(BASE_DATA!$AI:$AI,BASE_DATA!$G:$G,$Q$31,BASE_DATA!$A:$A,INDEX(PARAMS!$D$2:$D$5,MATCH($I$3,PARAMS!$C$2:$C$5,0)))/SUMIFS(BASE_DATA!$R:$R,BASE_DATA!$G:$G,$Q$31,BASE_DATA!$A:$A,INDEX(PARAMS!$D$2:$D$5,MATCH($I$3,PARAMS!$C$2:$C$5,0)))*40,0)))</f>
        <v>2</v>
      </c>
      <c r="AA31" s="57" t="n">
        <f aca="false">IF($K$3="Stats brutes",SUMIFS(BASE_DATA!$AJ:$AJ,BASE_DATA!$G:$G,$Q$31,BASE_DATA!$A:$A,INDEX(PARAMS!$D$2:$D$5,MATCH($I$3,PARAMS!$C$2:$C$5,0))),IF($K$3="Par minute jouée",IFERROR(SUMIFS(BASE_DATA!$AJ:$AJ,BASE_DATA!$G:$G,$Q$31,BASE_DATA!$A:$A,INDEX(PARAMS!$D$2:$D$5,MATCH($I$3,PARAMS!$C$2:$C$5,0)))/SUMIFS(BASE_DATA!$R:$R,BASE_DATA!$G:$G,$Q$31,BASE_DATA!$A:$A,INDEX(PARAMS!$D$2:$D$5,MATCH($I$3,PARAMS!$C$2:$C$5,0))),0),IFERROR(SUMIFS(BASE_DATA!$AJ:$AJ,BASE_DATA!$G:$G,$Q$31,BASE_DATA!$A:$A,INDEX(PARAMS!$D$2:$D$5,MATCH($I$3,PARAMS!$C$2:$C$5,0)))/SUMIFS(BASE_DATA!$R:$R,BASE_DATA!$G:$G,$Q$31,BASE_DATA!$A:$A,INDEX(PARAMS!$D$2:$D$5,MATCH($I$3,PARAMS!$C$2:$C$5,0)))*40,0)))</f>
        <v>0</v>
      </c>
      <c r="AB31" s="57" t="n">
        <f aca="false">IF($K$3="Stats brutes",SUMIFS(BASE_DATA!$AK:$AK,BASE_DATA!$G:$G,$Q$31,BASE_DATA!$A:$A,INDEX(PARAMS!$D$2:$D$5,MATCH($I$3,PARAMS!$C$2:$C$5,0))),IF($K$3="Par minute jouée",IFERROR(SUMIFS(BASE_DATA!$AK:$AK,BASE_DATA!$G:$G,$Q$31,BASE_DATA!$A:$A,INDEX(PARAMS!$D$2:$D$5,MATCH($I$3,PARAMS!$C$2:$C$5,0)))/SUMIFS(BASE_DATA!$R:$R,BASE_DATA!$G:$G,$Q$31,BASE_DATA!$A:$A,INDEX(PARAMS!$D$2:$D$5,MATCH($I$3,PARAMS!$C$2:$C$5,0))),0),IFERROR(SUMIFS(BASE_DATA!$AK:$AK,BASE_DATA!$G:$G,$Q$31,BASE_DATA!$A:$A,INDEX(PARAMS!$D$2:$D$5,MATCH($I$3,PARAMS!$C$2:$C$5,0)))/SUMIFS(BASE_DATA!$R:$R,BASE_DATA!$G:$G,$Q$31,BASE_DATA!$A:$A,INDEX(PARAMS!$D$2:$D$5,MATCH($I$3,PARAMS!$C$2:$C$5,0)))*40,0)))</f>
        <v>1</v>
      </c>
      <c r="AC31" s="58" t="n">
        <f aca="false">SUMIFS(BASE_DATA!$R:$R,BASE_DATA!$G:$G,$Q$31,BASE_DATA!$A:$A,INDEX(PARAMS!$D$2:$D$5,MATCH($I$3,PARAMS!$C$2:$C$5,0)))</f>
        <v>14.0667</v>
      </c>
      <c r="AD31" s="59" t="n">
        <f aca="false">COUNTIFS(BASE_DATA!$G:$G,$Q$31,BASE_DATA!$A:$A,INDEX(PARAMS!$D$2:$D$5,MATCH($I$3,PARAMS!$C$2:$C$5,0)))</f>
        <v>1</v>
      </c>
    </row>
    <row r="32" customFormat="false" ht="15" hidden="false" customHeight="false" outlineLevel="0" collapsed="false">
      <c r="B32" s="86" t="s">
        <v>111</v>
      </c>
      <c r="C32" s="87" t="n">
        <f aca="false">IFERROR(VLOOKUP($C$5,$Q$1:$AD$20,8,FALSE()),0)</f>
        <v>8</v>
      </c>
      <c r="D32" s="88" t="n">
        <f aca="false">IFERROR(VLOOKUP($C$5,$Q$25:$AD$44,8,FALSE()),0)</f>
        <v>8</v>
      </c>
      <c r="E32" s="87" t="n">
        <f aca="false">IFERROR(VLOOKUP($F$5,$Q$1:$AD$20,8,FALSE()),0)</f>
        <v>5</v>
      </c>
      <c r="F32" s="88" t="n">
        <f aca="false">IFERROR(VLOOKUP($F$5,$Q$25:$AD$44,8,FALSE()),0)</f>
        <v>7</v>
      </c>
      <c r="G32" s="87" t="n">
        <f aca="false">IFERROR(VLOOKUP($I$5,$Q$1:$AD$20,8,FALSE()),0)</f>
        <v>4</v>
      </c>
      <c r="H32" s="88" t="n">
        <f aca="false">IFERROR(VLOOKUP($I$5,$Q$25:$AD$44,8,FALSE()),0)</f>
        <v>0</v>
      </c>
      <c r="Q32" s="56" t="s">
        <v>118</v>
      </c>
      <c r="R32" s="57" t="n">
        <f aca="false">IF($K$3="Stats brutes",SUMIFS(BASE_DATA!$T:$T,BASE_DATA!$G:$G,$Q$32,BASE_DATA!$A:$A,INDEX(PARAMS!$D$2:$D$5,MATCH($I$3,PARAMS!$C$2:$C$5,0))),IF($K$3="Par minute jouée",IFERROR(SUMIFS(BASE_DATA!$T:$T,BASE_DATA!$G:$G,$Q$32,BASE_DATA!$A:$A,INDEX(PARAMS!$D$2:$D$5,MATCH($I$3,PARAMS!$C$2:$C$5,0)))/SUMIFS(BASE_DATA!$R:$R,BASE_DATA!$G:$G,$Q$32,BASE_DATA!$A:$A,INDEX(PARAMS!$D$2:$D$5,MATCH($I$3,PARAMS!$C$2:$C$5,0))),0),IFERROR(SUMIFS(BASE_DATA!$T:$T,BASE_DATA!$G:$G,$Q$32,BASE_DATA!$A:$A,INDEX(PARAMS!$D$2:$D$5,MATCH($I$3,PARAMS!$C$2:$C$5,0)))/SUMIFS(BASE_DATA!$R:$R,BASE_DATA!$G:$G,$Q$32,BASE_DATA!$A:$A,INDEX(PARAMS!$D$2:$D$5,MATCH($I$3,PARAMS!$C$2:$C$5,0)))*40,0)))</f>
        <v>0</v>
      </c>
      <c r="S32" s="57" t="n">
        <f aca="false">IF($K$3="Stats brutes",SUMIFS(BASE_DATA!$U:$U,BASE_DATA!$G:$G,$Q$32,BASE_DATA!$A:$A,INDEX(PARAMS!$D$2:$D$5,MATCH($I$3,PARAMS!$C$2:$C$5,0))),IF($K$3="Par minute jouée",IFERROR(SUMIFS(BASE_DATA!$U:$U,BASE_DATA!$G:$G,$Q$32,BASE_DATA!$A:$A,INDEX(PARAMS!$D$2:$D$5,MATCH($I$3,PARAMS!$C$2:$C$5,0)))/SUMIFS(BASE_DATA!$R:$R,BASE_DATA!$G:$G,$Q$32,BASE_DATA!$A:$A,INDEX(PARAMS!$D$2:$D$5,MATCH($I$3,PARAMS!$C$2:$C$5,0))),0),IFERROR(SUMIFS(BASE_DATA!$U:$U,BASE_DATA!$G:$G,$Q$32,BASE_DATA!$A:$A,INDEX(PARAMS!$D$2:$D$5,MATCH($I$3,PARAMS!$C$2:$C$5,0)))/SUMIFS(BASE_DATA!$R:$R,BASE_DATA!$G:$G,$Q$32,BASE_DATA!$A:$A,INDEX(PARAMS!$D$2:$D$5,MATCH($I$3,PARAMS!$C$2:$C$5,0)))*40,0)))</f>
        <v>0</v>
      </c>
      <c r="T32" s="57" t="n">
        <f aca="false">IF($K$3="Stats brutes",SUMIFS(BASE_DATA!$V:$V,BASE_DATA!$G:$G,$Q$32,BASE_DATA!$A:$A,INDEX(PARAMS!$D$2:$D$5,MATCH($I$3,PARAMS!$C$2:$C$5,0))),IF($K$3="Par minute jouée",IFERROR(SUMIFS(BASE_DATA!$V:$V,BASE_DATA!$G:$G,$Q$32,BASE_DATA!$A:$A,INDEX(PARAMS!$D$2:$D$5,MATCH($I$3,PARAMS!$C$2:$C$5,0)))/SUMIFS(BASE_DATA!$R:$R,BASE_DATA!$G:$G,$Q$32,BASE_DATA!$A:$A,INDEX(PARAMS!$D$2:$D$5,MATCH($I$3,PARAMS!$C$2:$C$5,0))),0),IFERROR(SUMIFS(BASE_DATA!$V:$V,BASE_DATA!$G:$G,$Q$32,BASE_DATA!$A:$A,INDEX(PARAMS!$D$2:$D$5,MATCH($I$3,PARAMS!$C$2:$C$5,0)))/SUMIFS(BASE_DATA!$R:$R,BASE_DATA!$G:$G,$Q$32,BASE_DATA!$A:$A,INDEX(PARAMS!$D$2:$D$5,MATCH($I$3,PARAMS!$C$2:$C$5,0)))*40,0)))</f>
        <v>0</v>
      </c>
      <c r="U32" s="57" t="n">
        <f aca="false">IF($K$3="Stats brutes",SUMIFS(BASE_DATA!$W:$W,BASE_DATA!$G:$G,$Q$32,BASE_DATA!$A:$A,INDEX(PARAMS!$D$2:$D$5,MATCH($I$3,PARAMS!$C$2:$C$5,0))),IF($K$3="Par minute jouée",IFERROR(SUMIFS(BASE_DATA!$W:$W,BASE_DATA!$G:$G,$Q$32,BASE_DATA!$A:$A,INDEX(PARAMS!$D$2:$D$5,MATCH($I$3,PARAMS!$C$2:$C$5,0)))/SUMIFS(BASE_DATA!$R:$R,BASE_DATA!$G:$G,$Q$32,BASE_DATA!$A:$A,INDEX(PARAMS!$D$2:$D$5,MATCH($I$3,PARAMS!$C$2:$C$5,0))),0),IFERROR(SUMIFS(BASE_DATA!$W:$W,BASE_DATA!$G:$G,$Q$32,BASE_DATA!$A:$A,INDEX(PARAMS!$D$2:$D$5,MATCH($I$3,PARAMS!$C$2:$C$5,0)))/SUMIFS(BASE_DATA!$R:$R,BASE_DATA!$G:$G,$Q$32,BASE_DATA!$A:$A,INDEX(PARAMS!$D$2:$D$5,MATCH($I$3,PARAMS!$C$2:$C$5,0)))*40,0)))</f>
        <v>0</v>
      </c>
      <c r="V32" s="57" t="n">
        <f aca="false">IF($K$3="Stats brutes",SUMIFS(BASE_DATA!$AN:$AN,BASE_DATA!$G:$G,$Q$32,BASE_DATA!$A:$A,INDEX(PARAMS!$D$2:$D$5,MATCH($I$3,PARAMS!$C$2:$C$5,0))),IF($K$3="Par minute jouée",IFERROR(SUMIFS(BASE_DATA!$AN:$AN,BASE_DATA!$G:$G,$Q$32,BASE_DATA!$A:$A,INDEX(PARAMS!$D$2:$D$5,MATCH($I$3,PARAMS!$C$2:$C$5,0)))/SUMIFS(BASE_DATA!$R:$R,BASE_DATA!$G:$G,$Q$32,BASE_DATA!$A:$A,INDEX(PARAMS!$D$2:$D$5,MATCH($I$3,PARAMS!$C$2:$C$5,0))),0),IFERROR(SUMIFS(BASE_DATA!$AN:$AN,BASE_DATA!$G:$G,$Q$32,BASE_DATA!$A:$A,INDEX(PARAMS!$D$2:$D$5,MATCH($I$3,PARAMS!$C$2:$C$5,0)))/SUMIFS(BASE_DATA!$R:$R,BASE_DATA!$G:$G,$Q$32,BASE_DATA!$A:$A,INDEX(PARAMS!$D$2:$D$5,MATCH($I$3,PARAMS!$C$2:$C$5,0)))*40,0)))</f>
        <v>0</v>
      </c>
      <c r="W32" s="57" t="n">
        <f aca="false">IF($K$3="Stats brutes",SUMIFS(BASE_DATA!$AO:$AO,BASE_DATA!$G:$G,$Q$32,BASE_DATA!$A:$A,INDEX(PARAMS!$D$2:$D$5,MATCH($I$3,PARAMS!$C$2:$C$5,0))),IF($K$3="Par minute jouée",IFERROR(SUMIFS(BASE_DATA!$AO:$AO,BASE_DATA!$G:$G,$Q$32,BASE_DATA!$A:$A,INDEX(PARAMS!$D$2:$D$5,MATCH($I$3,PARAMS!$C$2:$C$5,0)))/SUMIFS(BASE_DATA!$R:$R,BASE_DATA!$G:$G,$Q$32,BASE_DATA!$A:$A,INDEX(PARAMS!$D$2:$D$5,MATCH($I$3,PARAMS!$C$2:$C$5,0))),0),IFERROR(SUMIFS(BASE_DATA!$AO:$AO,BASE_DATA!$G:$G,$Q$32,BASE_DATA!$A:$A,INDEX(PARAMS!$D$2:$D$5,MATCH($I$3,PARAMS!$C$2:$C$5,0)))/SUMIFS(BASE_DATA!$R:$R,BASE_DATA!$G:$G,$Q$32,BASE_DATA!$A:$A,INDEX(PARAMS!$D$2:$D$5,MATCH($I$3,PARAMS!$C$2:$C$5,0)))*40,0)))</f>
        <v>0</v>
      </c>
      <c r="X32" s="57" t="n">
        <f aca="false">IF($K$3="Stats brutes",SUMIFS(BASE_DATA!$AA:$AA,BASE_DATA!$G:$G,$Q$32,BASE_DATA!$A:$A,INDEX(PARAMS!$D$2:$D$5,MATCH($I$3,PARAMS!$C$2:$C$5,0))),IF($K$3="Par minute jouée",IFERROR(SUMIFS(BASE_DATA!$AA:$AA,BASE_DATA!$G:$G,$Q$32,BASE_DATA!$A:$A,INDEX(PARAMS!$D$2:$D$5,MATCH($I$3,PARAMS!$C$2:$C$5,0)))/SUMIFS(BASE_DATA!$R:$R,BASE_DATA!$G:$G,$Q$32,BASE_DATA!$A:$A,INDEX(PARAMS!$D$2:$D$5,MATCH($I$3,PARAMS!$C$2:$C$5,0))),0),IFERROR(SUMIFS(BASE_DATA!$AA:$AA,BASE_DATA!$G:$G,$Q$32,BASE_DATA!$A:$A,INDEX(PARAMS!$D$2:$D$5,MATCH($I$3,PARAMS!$C$2:$C$5,0)))/SUMIFS(BASE_DATA!$R:$R,BASE_DATA!$G:$G,$Q$32,BASE_DATA!$A:$A,INDEX(PARAMS!$D$2:$D$5,MATCH($I$3,PARAMS!$C$2:$C$5,0)))*40,0)))</f>
        <v>0</v>
      </c>
      <c r="Y32" s="57" t="n">
        <f aca="false">IF($K$3="Stats brutes",SUMIFS(BASE_DATA!$AH:$AH,BASE_DATA!$G:$G,$Q$32,BASE_DATA!$A:$A,INDEX(PARAMS!$D$2:$D$5,MATCH($I$3,PARAMS!$C$2:$C$5,0))),IF($K$3="Par minute jouée",IFERROR(SUMIFS(BASE_DATA!$AH:$AH,BASE_DATA!$G:$G,$Q$32,BASE_DATA!$A:$A,INDEX(PARAMS!$D$2:$D$5,MATCH($I$3,PARAMS!$C$2:$C$5,0)))/SUMIFS(BASE_DATA!$R:$R,BASE_DATA!$G:$G,$Q$32,BASE_DATA!$A:$A,INDEX(PARAMS!$D$2:$D$5,MATCH($I$3,PARAMS!$C$2:$C$5,0))),0),IFERROR(SUMIFS(BASE_DATA!$AH:$AH,BASE_DATA!$G:$G,$Q$32,BASE_DATA!$A:$A,INDEX(PARAMS!$D$2:$D$5,MATCH($I$3,PARAMS!$C$2:$C$5,0)))/SUMIFS(BASE_DATA!$R:$R,BASE_DATA!$G:$G,$Q$32,BASE_DATA!$A:$A,INDEX(PARAMS!$D$2:$D$5,MATCH($I$3,PARAMS!$C$2:$C$5,0)))*40,0)))</f>
        <v>0</v>
      </c>
      <c r="Z32" s="57" t="n">
        <f aca="false">IF($K$3="Stats brutes",SUMIFS(BASE_DATA!$AI:$AI,BASE_DATA!$G:$G,$Q$32,BASE_DATA!$A:$A,INDEX(PARAMS!$D$2:$D$5,MATCH($I$3,PARAMS!$C$2:$C$5,0))),IF($K$3="Par minute jouée",IFERROR(SUMIFS(BASE_DATA!$AI:$AI,BASE_DATA!$G:$G,$Q$32,BASE_DATA!$A:$A,INDEX(PARAMS!$D$2:$D$5,MATCH($I$3,PARAMS!$C$2:$C$5,0)))/SUMIFS(BASE_DATA!$R:$R,BASE_DATA!$G:$G,$Q$32,BASE_DATA!$A:$A,INDEX(PARAMS!$D$2:$D$5,MATCH($I$3,PARAMS!$C$2:$C$5,0))),0),IFERROR(SUMIFS(BASE_DATA!$AI:$AI,BASE_DATA!$G:$G,$Q$32,BASE_DATA!$A:$A,INDEX(PARAMS!$D$2:$D$5,MATCH($I$3,PARAMS!$C$2:$C$5,0)))/SUMIFS(BASE_DATA!$R:$R,BASE_DATA!$G:$G,$Q$32,BASE_DATA!$A:$A,INDEX(PARAMS!$D$2:$D$5,MATCH($I$3,PARAMS!$C$2:$C$5,0)))*40,0)))</f>
        <v>0</v>
      </c>
      <c r="AA32" s="57" t="n">
        <f aca="false">IF($K$3="Stats brutes",SUMIFS(BASE_DATA!$AJ:$AJ,BASE_DATA!$G:$G,$Q$32,BASE_DATA!$A:$A,INDEX(PARAMS!$D$2:$D$5,MATCH($I$3,PARAMS!$C$2:$C$5,0))),IF($K$3="Par minute jouée",IFERROR(SUMIFS(BASE_DATA!$AJ:$AJ,BASE_DATA!$G:$G,$Q$32,BASE_DATA!$A:$A,INDEX(PARAMS!$D$2:$D$5,MATCH($I$3,PARAMS!$C$2:$C$5,0)))/SUMIFS(BASE_DATA!$R:$R,BASE_DATA!$G:$G,$Q$32,BASE_DATA!$A:$A,INDEX(PARAMS!$D$2:$D$5,MATCH($I$3,PARAMS!$C$2:$C$5,0))),0),IFERROR(SUMIFS(BASE_DATA!$AJ:$AJ,BASE_DATA!$G:$G,$Q$32,BASE_DATA!$A:$A,INDEX(PARAMS!$D$2:$D$5,MATCH($I$3,PARAMS!$C$2:$C$5,0)))/SUMIFS(BASE_DATA!$R:$R,BASE_DATA!$G:$G,$Q$32,BASE_DATA!$A:$A,INDEX(PARAMS!$D$2:$D$5,MATCH($I$3,PARAMS!$C$2:$C$5,0)))*40,0)))</f>
        <v>0</v>
      </c>
      <c r="AB32" s="57" t="n">
        <f aca="false">IF($K$3="Stats brutes",SUMIFS(BASE_DATA!$AK:$AK,BASE_DATA!$G:$G,$Q$32,BASE_DATA!$A:$A,INDEX(PARAMS!$D$2:$D$5,MATCH($I$3,PARAMS!$C$2:$C$5,0))),IF($K$3="Par minute jouée",IFERROR(SUMIFS(BASE_DATA!$AK:$AK,BASE_DATA!$G:$G,$Q$32,BASE_DATA!$A:$A,INDEX(PARAMS!$D$2:$D$5,MATCH($I$3,PARAMS!$C$2:$C$5,0)))/SUMIFS(BASE_DATA!$R:$R,BASE_DATA!$G:$G,$Q$32,BASE_DATA!$A:$A,INDEX(PARAMS!$D$2:$D$5,MATCH($I$3,PARAMS!$C$2:$C$5,0))),0),IFERROR(SUMIFS(BASE_DATA!$AK:$AK,BASE_DATA!$G:$G,$Q$32,BASE_DATA!$A:$A,INDEX(PARAMS!$D$2:$D$5,MATCH($I$3,PARAMS!$C$2:$C$5,0)))/SUMIFS(BASE_DATA!$R:$R,BASE_DATA!$G:$G,$Q$32,BASE_DATA!$A:$A,INDEX(PARAMS!$D$2:$D$5,MATCH($I$3,PARAMS!$C$2:$C$5,0)))*40,0)))</f>
        <v>0</v>
      </c>
      <c r="AC32" s="58" t="n">
        <f aca="false">SUMIFS(BASE_DATA!$R:$R,BASE_DATA!$G:$G,$Q$32,BASE_DATA!$A:$A,INDEX(PARAMS!$D$2:$D$5,MATCH($I$3,PARAMS!$C$2:$C$5,0)))</f>
        <v>0</v>
      </c>
      <c r="AD32" s="59" t="n">
        <f aca="false">COUNTIFS(BASE_DATA!$G:$G,$Q$32,BASE_DATA!$A:$A,INDEX(PARAMS!$D$2:$D$5,MATCH($I$3,PARAMS!$C$2:$C$5,0)))</f>
        <v>0</v>
      </c>
    </row>
    <row r="33" customFormat="false" ht="15" hidden="false" customHeight="false" outlineLevel="0" collapsed="false">
      <c r="B33" s="86" t="s">
        <v>130</v>
      </c>
      <c r="C33" s="87" t="n">
        <f aca="false">IFERROR(VLOOKUP($C$5,$Q$1:$AD$20,13,FALSE()),0)</f>
        <v>9</v>
      </c>
      <c r="D33" s="88" t="n">
        <f aca="false">IFERROR(VLOOKUP($C$5,$Q$25:$AD$44,13,FALSE()),0)</f>
        <v>11.4833</v>
      </c>
      <c r="E33" s="87" t="n">
        <f aca="false">IFERROR(VLOOKUP($F$5,$Q$1:$AD$20,13,FALSE()),0)</f>
        <v>17.5</v>
      </c>
      <c r="F33" s="88" t="n">
        <f aca="false">IFERROR(VLOOKUP($F$5,$Q$25:$AD$44,13,FALSE()),0)</f>
        <v>14.6</v>
      </c>
      <c r="G33" s="87" t="n">
        <f aca="false">IFERROR(VLOOKUP($I$5,$Q$1:$AD$20,13,FALSE()),0)</f>
        <v>14.5</v>
      </c>
      <c r="H33" s="88" t="n">
        <f aca="false">IFERROR(VLOOKUP($I$5,$Q$25:$AD$44,13,FALSE()),0)</f>
        <v>0</v>
      </c>
      <c r="Q33" s="56" t="s">
        <v>34</v>
      </c>
      <c r="R33" s="57" t="n">
        <f aca="false">IF($K$3="Stats brutes",SUMIFS(BASE_DATA!$T:$T,BASE_DATA!$G:$G,$Q$33,BASE_DATA!$A:$A,INDEX(PARAMS!$D$2:$D$5,MATCH($I$3,PARAMS!$C$2:$C$5,0))),IF($K$3="Par minute jouée",IFERROR(SUMIFS(BASE_DATA!$T:$T,BASE_DATA!$G:$G,$Q$33,BASE_DATA!$A:$A,INDEX(PARAMS!$D$2:$D$5,MATCH($I$3,PARAMS!$C$2:$C$5,0)))/SUMIFS(BASE_DATA!$R:$R,BASE_DATA!$G:$G,$Q$33,BASE_DATA!$A:$A,INDEX(PARAMS!$D$2:$D$5,MATCH($I$3,PARAMS!$C$2:$C$5,0))),0),IFERROR(SUMIFS(BASE_DATA!$T:$T,BASE_DATA!$G:$G,$Q$33,BASE_DATA!$A:$A,INDEX(PARAMS!$D$2:$D$5,MATCH($I$3,PARAMS!$C$2:$C$5,0)))/SUMIFS(BASE_DATA!$R:$R,BASE_DATA!$G:$G,$Q$33,BASE_DATA!$A:$A,INDEX(PARAMS!$D$2:$D$5,MATCH($I$3,PARAMS!$C$2:$C$5,0)))*40,0)))</f>
        <v>0</v>
      </c>
      <c r="S33" s="57" t="n">
        <f aca="false">IF($K$3="Stats brutes",SUMIFS(BASE_DATA!$U:$U,BASE_DATA!$G:$G,$Q$33,BASE_DATA!$A:$A,INDEX(PARAMS!$D$2:$D$5,MATCH($I$3,PARAMS!$C$2:$C$5,0))),IF($K$3="Par minute jouée",IFERROR(SUMIFS(BASE_DATA!$U:$U,BASE_DATA!$G:$G,$Q$33,BASE_DATA!$A:$A,INDEX(PARAMS!$D$2:$D$5,MATCH($I$3,PARAMS!$C$2:$C$5,0)))/SUMIFS(BASE_DATA!$R:$R,BASE_DATA!$G:$G,$Q$33,BASE_DATA!$A:$A,INDEX(PARAMS!$D$2:$D$5,MATCH($I$3,PARAMS!$C$2:$C$5,0))),0),IFERROR(SUMIFS(BASE_DATA!$U:$U,BASE_DATA!$G:$G,$Q$33,BASE_DATA!$A:$A,INDEX(PARAMS!$D$2:$D$5,MATCH($I$3,PARAMS!$C$2:$C$5,0)))/SUMIFS(BASE_DATA!$R:$R,BASE_DATA!$G:$G,$Q$33,BASE_DATA!$A:$A,INDEX(PARAMS!$D$2:$D$5,MATCH($I$3,PARAMS!$C$2:$C$5,0)))*40,0)))</f>
        <v>1</v>
      </c>
      <c r="T33" s="57" t="n">
        <f aca="false">IF($K$3="Stats brutes",SUMIFS(BASE_DATA!$V:$V,BASE_DATA!$G:$G,$Q$33,BASE_DATA!$A:$A,INDEX(PARAMS!$D$2:$D$5,MATCH($I$3,PARAMS!$C$2:$C$5,0))),IF($K$3="Par minute jouée",IFERROR(SUMIFS(BASE_DATA!$V:$V,BASE_DATA!$G:$G,$Q$33,BASE_DATA!$A:$A,INDEX(PARAMS!$D$2:$D$5,MATCH($I$3,PARAMS!$C$2:$C$5,0)))/SUMIFS(BASE_DATA!$R:$R,BASE_DATA!$G:$G,$Q$33,BASE_DATA!$A:$A,INDEX(PARAMS!$D$2:$D$5,MATCH($I$3,PARAMS!$C$2:$C$5,0))),0),IFERROR(SUMIFS(BASE_DATA!$V:$V,BASE_DATA!$G:$G,$Q$33,BASE_DATA!$A:$A,INDEX(PARAMS!$D$2:$D$5,MATCH($I$3,PARAMS!$C$2:$C$5,0)))/SUMIFS(BASE_DATA!$R:$R,BASE_DATA!$G:$G,$Q$33,BASE_DATA!$A:$A,INDEX(PARAMS!$D$2:$D$5,MATCH($I$3,PARAMS!$C$2:$C$5,0)))*40,0)))</f>
        <v>0</v>
      </c>
      <c r="U33" s="57" t="n">
        <f aca="false">IF($K$3="Stats brutes",SUMIFS(BASE_DATA!$W:$W,BASE_DATA!$G:$G,$Q$33,BASE_DATA!$A:$A,INDEX(PARAMS!$D$2:$D$5,MATCH($I$3,PARAMS!$C$2:$C$5,0))),IF($K$3="Par minute jouée",IFERROR(SUMIFS(BASE_DATA!$W:$W,BASE_DATA!$G:$G,$Q$33,BASE_DATA!$A:$A,INDEX(PARAMS!$D$2:$D$5,MATCH($I$3,PARAMS!$C$2:$C$5,0)))/SUMIFS(BASE_DATA!$R:$R,BASE_DATA!$G:$G,$Q$33,BASE_DATA!$A:$A,INDEX(PARAMS!$D$2:$D$5,MATCH($I$3,PARAMS!$C$2:$C$5,0))),0),IFERROR(SUMIFS(BASE_DATA!$W:$W,BASE_DATA!$G:$G,$Q$33,BASE_DATA!$A:$A,INDEX(PARAMS!$D$2:$D$5,MATCH($I$3,PARAMS!$C$2:$C$5,0)))/SUMIFS(BASE_DATA!$R:$R,BASE_DATA!$G:$G,$Q$33,BASE_DATA!$A:$A,INDEX(PARAMS!$D$2:$D$5,MATCH($I$3,PARAMS!$C$2:$C$5,0)))*40,0)))</f>
        <v>0</v>
      </c>
      <c r="V33" s="57" t="n">
        <f aca="false">IF($K$3="Stats brutes",SUMIFS(BASE_DATA!$AN:$AN,BASE_DATA!$G:$G,$Q$33,BASE_DATA!$A:$A,INDEX(PARAMS!$D$2:$D$5,MATCH($I$3,PARAMS!$C$2:$C$5,0))),IF($K$3="Par minute jouée",IFERROR(SUMIFS(BASE_DATA!$AN:$AN,BASE_DATA!$G:$G,$Q$33,BASE_DATA!$A:$A,INDEX(PARAMS!$D$2:$D$5,MATCH($I$3,PARAMS!$C$2:$C$5,0)))/SUMIFS(BASE_DATA!$R:$R,BASE_DATA!$G:$G,$Q$33,BASE_DATA!$A:$A,INDEX(PARAMS!$D$2:$D$5,MATCH($I$3,PARAMS!$C$2:$C$5,0))),0),IFERROR(SUMIFS(BASE_DATA!$AN:$AN,BASE_DATA!$G:$G,$Q$33,BASE_DATA!$A:$A,INDEX(PARAMS!$D$2:$D$5,MATCH($I$3,PARAMS!$C$2:$C$5,0)))/SUMIFS(BASE_DATA!$R:$R,BASE_DATA!$G:$G,$Q$33,BASE_DATA!$A:$A,INDEX(PARAMS!$D$2:$D$5,MATCH($I$3,PARAMS!$C$2:$C$5,0)))*40,0)))</f>
        <v>1</v>
      </c>
      <c r="W33" s="57" t="n">
        <f aca="false">IF($K$3="Stats brutes",SUMIFS(BASE_DATA!$AO:$AO,BASE_DATA!$G:$G,$Q$33,BASE_DATA!$A:$A,INDEX(PARAMS!$D$2:$D$5,MATCH($I$3,PARAMS!$C$2:$C$5,0))),IF($K$3="Par minute jouée",IFERROR(SUMIFS(BASE_DATA!$AO:$AO,BASE_DATA!$G:$G,$Q$33,BASE_DATA!$A:$A,INDEX(PARAMS!$D$2:$D$5,MATCH($I$3,PARAMS!$C$2:$C$5,0)))/SUMIFS(BASE_DATA!$R:$R,BASE_DATA!$G:$G,$Q$33,BASE_DATA!$A:$A,INDEX(PARAMS!$D$2:$D$5,MATCH($I$3,PARAMS!$C$2:$C$5,0))),0),IFERROR(SUMIFS(BASE_DATA!$AO:$AO,BASE_DATA!$G:$G,$Q$33,BASE_DATA!$A:$A,INDEX(PARAMS!$D$2:$D$5,MATCH($I$3,PARAMS!$C$2:$C$5,0)))/SUMIFS(BASE_DATA!$R:$R,BASE_DATA!$G:$G,$Q$33,BASE_DATA!$A:$A,INDEX(PARAMS!$D$2:$D$5,MATCH($I$3,PARAMS!$C$2:$C$5,0)))*40,0)))</f>
        <v>0</v>
      </c>
      <c r="X33" s="57" t="n">
        <f aca="false">IF($K$3="Stats brutes",SUMIFS(BASE_DATA!$AA:$AA,BASE_DATA!$G:$G,$Q$33,BASE_DATA!$A:$A,INDEX(PARAMS!$D$2:$D$5,MATCH($I$3,PARAMS!$C$2:$C$5,0))),IF($K$3="Par minute jouée",IFERROR(SUMIFS(BASE_DATA!$AA:$AA,BASE_DATA!$G:$G,$Q$33,BASE_DATA!$A:$A,INDEX(PARAMS!$D$2:$D$5,MATCH($I$3,PARAMS!$C$2:$C$5,0)))/SUMIFS(BASE_DATA!$R:$R,BASE_DATA!$G:$G,$Q$33,BASE_DATA!$A:$A,INDEX(PARAMS!$D$2:$D$5,MATCH($I$3,PARAMS!$C$2:$C$5,0))),0),IFERROR(SUMIFS(BASE_DATA!$AA:$AA,BASE_DATA!$G:$G,$Q$33,BASE_DATA!$A:$A,INDEX(PARAMS!$D$2:$D$5,MATCH($I$3,PARAMS!$C$2:$C$5,0)))/SUMIFS(BASE_DATA!$R:$R,BASE_DATA!$G:$G,$Q$33,BASE_DATA!$A:$A,INDEX(PARAMS!$D$2:$D$5,MATCH($I$3,PARAMS!$C$2:$C$5,0)))*40,0)))</f>
        <v>3</v>
      </c>
      <c r="Y33" s="57" t="n">
        <f aca="false">IF($K$3="Stats brutes",SUMIFS(BASE_DATA!$AH:$AH,BASE_DATA!$G:$G,$Q$33,BASE_DATA!$A:$A,INDEX(PARAMS!$D$2:$D$5,MATCH($I$3,PARAMS!$C$2:$C$5,0))),IF($K$3="Par minute jouée",IFERROR(SUMIFS(BASE_DATA!$AH:$AH,BASE_DATA!$G:$G,$Q$33,BASE_DATA!$A:$A,INDEX(PARAMS!$D$2:$D$5,MATCH($I$3,PARAMS!$C$2:$C$5,0)))/SUMIFS(BASE_DATA!$R:$R,BASE_DATA!$G:$G,$Q$33,BASE_DATA!$A:$A,INDEX(PARAMS!$D$2:$D$5,MATCH($I$3,PARAMS!$C$2:$C$5,0))),0),IFERROR(SUMIFS(BASE_DATA!$AH:$AH,BASE_DATA!$G:$G,$Q$33,BASE_DATA!$A:$A,INDEX(PARAMS!$D$2:$D$5,MATCH($I$3,PARAMS!$C$2:$C$5,0)))/SUMIFS(BASE_DATA!$R:$R,BASE_DATA!$G:$G,$Q$33,BASE_DATA!$A:$A,INDEX(PARAMS!$D$2:$D$5,MATCH($I$3,PARAMS!$C$2:$C$5,0)))*40,0)))</f>
        <v>0</v>
      </c>
      <c r="Z33" s="57" t="n">
        <f aca="false">IF($K$3="Stats brutes",SUMIFS(BASE_DATA!$AI:$AI,BASE_DATA!$G:$G,$Q$33,BASE_DATA!$A:$A,INDEX(PARAMS!$D$2:$D$5,MATCH($I$3,PARAMS!$C$2:$C$5,0))),IF($K$3="Par minute jouée",IFERROR(SUMIFS(BASE_DATA!$AI:$AI,BASE_DATA!$G:$G,$Q$33,BASE_DATA!$A:$A,INDEX(PARAMS!$D$2:$D$5,MATCH($I$3,PARAMS!$C$2:$C$5,0)))/SUMIFS(BASE_DATA!$R:$R,BASE_DATA!$G:$G,$Q$33,BASE_DATA!$A:$A,INDEX(PARAMS!$D$2:$D$5,MATCH($I$3,PARAMS!$C$2:$C$5,0))),0),IFERROR(SUMIFS(BASE_DATA!$AI:$AI,BASE_DATA!$G:$G,$Q$33,BASE_DATA!$A:$A,INDEX(PARAMS!$D$2:$D$5,MATCH($I$3,PARAMS!$C$2:$C$5,0)))/SUMIFS(BASE_DATA!$R:$R,BASE_DATA!$G:$G,$Q$33,BASE_DATA!$A:$A,INDEX(PARAMS!$D$2:$D$5,MATCH($I$3,PARAMS!$C$2:$C$5,0)))*40,0)))</f>
        <v>0</v>
      </c>
      <c r="AA33" s="57" t="n">
        <f aca="false">IF($K$3="Stats brutes",SUMIFS(BASE_DATA!$AJ:$AJ,BASE_DATA!$G:$G,$Q$33,BASE_DATA!$A:$A,INDEX(PARAMS!$D$2:$D$5,MATCH($I$3,PARAMS!$C$2:$C$5,0))),IF($K$3="Par minute jouée",IFERROR(SUMIFS(BASE_DATA!$AJ:$AJ,BASE_DATA!$G:$G,$Q$33,BASE_DATA!$A:$A,INDEX(PARAMS!$D$2:$D$5,MATCH($I$3,PARAMS!$C$2:$C$5,0)))/SUMIFS(BASE_DATA!$R:$R,BASE_DATA!$G:$G,$Q$33,BASE_DATA!$A:$A,INDEX(PARAMS!$D$2:$D$5,MATCH($I$3,PARAMS!$C$2:$C$5,0))),0),IFERROR(SUMIFS(BASE_DATA!$AJ:$AJ,BASE_DATA!$G:$G,$Q$33,BASE_DATA!$A:$A,INDEX(PARAMS!$D$2:$D$5,MATCH($I$3,PARAMS!$C$2:$C$5,0)))/SUMIFS(BASE_DATA!$R:$R,BASE_DATA!$G:$G,$Q$33,BASE_DATA!$A:$A,INDEX(PARAMS!$D$2:$D$5,MATCH($I$3,PARAMS!$C$2:$C$5,0)))*40,0)))</f>
        <v>2</v>
      </c>
      <c r="AB33" s="57" t="n">
        <f aca="false">IF($K$3="Stats brutes",SUMIFS(BASE_DATA!$AK:$AK,BASE_DATA!$G:$G,$Q$33,BASE_DATA!$A:$A,INDEX(PARAMS!$D$2:$D$5,MATCH($I$3,PARAMS!$C$2:$C$5,0))),IF($K$3="Par minute jouée",IFERROR(SUMIFS(BASE_DATA!$AK:$AK,BASE_DATA!$G:$G,$Q$33,BASE_DATA!$A:$A,INDEX(PARAMS!$D$2:$D$5,MATCH($I$3,PARAMS!$C$2:$C$5,0)))/SUMIFS(BASE_DATA!$R:$R,BASE_DATA!$G:$G,$Q$33,BASE_DATA!$A:$A,INDEX(PARAMS!$D$2:$D$5,MATCH($I$3,PARAMS!$C$2:$C$5,0))),0),IFERROR(SUMIFS(BASE_DATA!$AK:$AK,BASE_DATA!$G:$G,$Q$33,BASE_DATA!$A:$A,INDEX(PARAMS!$D$2:$D$5,MATCH($I$3,PARAMS!$C$2:$C$5,0)))/SUMIFS(BASE_DATA!$R:$R,BASE_DATA!$G:$G,$Q$33,BASE_DATA!$A:$A,INDEX(PARAMS!$D$2:$D$5,MATCH($I$3,PARAMS!$C$2:$C$5,0)))*40,0)))</f>
        <v>3</v>
      </c>
      <c r="AC33" s="58" t="n">
        <f aca="false">SUMIFS(BASE_DATA!$R:$R,BASE_DATA!$G:$G,$Q$33,BASE_DATA!$A:$A,INDEX(PARAMS!$D$2:$D$5,MATCH($I$3,PARAMS!$C$2:$C$5,0)))</f>
        <v>10.15</v>
      </c>
      <c r="AD33" s="59" t="n">
        <f aca="false">COUNTIFS(BASE_DATA!$G:$G,$Q$33,BASE_DATA!$A:$A,INDEX(PARAMS!$D$2:$D$5,MATCH($I$3,PARAMS!$C$2:$C$5,0)))</f>
        <v>1</v>
      </c>
    </row>
    <row r="34" customFormat="false" ht="15" hidden="false" customHeight="false" outlineLevel="0" collapsed="false">
      <c r="B34" s="86" t="s">
        <v>110</v>
      </c>
      <c r="C34" s="87" t="n">
        <f aca="false">IFERROR(VLOOKUP($C$5,$Q$1:$AD$20,14,FALSE()),0)</f>
        <v>1</v>
      </c>
      <c r="D34" s="88" t="n">
        <f aca="false">IFERROR(VLOOKUP($C$5,$Q$25:$AD$44,14,FALSE()),0)</f>
        <v>1</v>
      </c>
      <c r="E34" s="87" t="n">
        <f aca="false">IFERROR(VLOOKUP($F$5,$Q$1:$AD$20,14,FALSE()),0)</f>
        <v>1</v>
      </c>
      <c r="F34" s="88" t="n">
        <f aca="false">IFERROR(VLOOKUP($F$5,$Q$25:$AD$44,14,FALSE()),0)</f>
        <v>1</v>
      </c>
      <c r="G34" s="87" t="n">
        <f aca="false">IFERROR(VLOOKUP($I$5,$Q$1:$AD$20,14,FALSE()),0)</f>
        <v>1</v>
      </c>
      <c r="H34" s="88" t="n">
        <f aca="false">IFERROR(VLOOKUP($I$5,$Q$25:$AD$44,14,FALSE()),0)</f>
        <v>0</v>
      </c>
      <c r="I34" s="73"/>
      <c r="J34" s="73"/>
      <c r="Q34" s="56" t="s">
        <v>127</v>
      </c>
      <c r="R34" s="57" t="n">
        <f aca="false">IF($K$3="Stats brutes",SUMIFS(BASE_DATA!$T:$T,BASE_DATA!$G:$G,$Q$34,BASE_DATA!$A:$A,INDEX(PARAMS!$D$2:$D$5,MATCH($I$3,PARAMS!$C$2:$C$5,0))),IF($K$3="Par minute jouée",IFERROR(SUMIFS(BASE_DATA!$T:$T,BASE_DATA!$G:$G,$Q$34,BASE_DATA!$A:$A,INDEX(PARAMS!$D$2:$D$5,MATCH($I$3,PARAMS!$C$2:$C$5,0)))/SUMIFS(BASE_DATA!$R:$R,BASE_DATA!$G:$G,$Q$34,BASE_DATA!$A:$A,INDEX(PARAMS!$D$2:$D$5,MATCH($I$3,PARAMS!$C$2:$C$5,0))),0),IFERROR(SUMIFS(BASE_DATA!$T:$T,BASE_DATA!$G:$G,$Q$34,BASE_DATA!$A:$A,INDEX(PARAMS!$D$2:$D$5,MATCH($I$3,PARAMS!$C$2:$C$5,0)))/SUMIFS(BASE_DATA!$R:$R,BASE_DATA!$G:$G,$Q$34,BASE_DATA!$A:$A,INDEX(PARAMS!$D$2:$D$5,MATCH($I$3,PARAMS!$C$2:$C$5,0)))*40,0)))</f>
        <v>0</v>
      </c>
      <c r="S34" s="57" t="n">
        <f aca="false">IF($K$3="Stats brutes",SUMIFS(BASE_DATA!$U:$U,BASE_DATA!$G:$G,$Q$34,BASE_DATA!$A:$A,INDEX(PARAMS!$D$2:$D$5,MATCH($I$3,PARAMS!$C$2:$C$5,0))),IF($K$3="Par minute jouée",IFERROR(SUMIFS(BASE_DATA!$U:$U,BASE_DATA!$G:$G,$Q$34,BASE_DATA!$A:$A,INDEX(PARAMS!$D$2:$D$5,MATCH($I$3,PARAMS!$C$2:$C$5,0)))/SUMIFS(BASE_DATA!$R:$R,BASE_DATA!$G:$G,$Q$34,BASE_DATA!$A:$A,INDEX(PARAMS!$D$2:$D$5,MATCH($I$3,PARAMS!$C$2:$C$5,0))),0),IFERROR(SUMIFS(BASE_DATA!$U:$U,BASE_DATA!$G:$G,$Q$34,BASE_DATA!$A:$A,INDEX(PARAMS!$D$2:$D$5,MATCH($I$3,PARAMS!$C$2:$C$5,0)))/SUMIFS(BASE_DATA!$R:$R,BASE_DATA!$G:$G,$Q$34,BASE_DATA!$A:$A,INDEX(PARAMS!$D$2:$D$5,MATCH($I$3,PARAMS!$C$2:$C$5,0)))*40,0)))</f>
        <v>0</v>
      </c>
      <c r="T34" s="57" t="n">
        <f aca="false">IF($K$3="Stats brutes",SUMIFS(BASE_DATA!$V:$V,BASE_DATA!$G:$G,$Q$34,BASE_DATA!$A:$A,INDEX(PARAMS!$D$2:$D$5,MATCH($I$3,PARAMS!$C$2:$C$5,0))),IF($K$3="Par minute jouée",IFERROR(SUMIFS(BASE_DATA!$V:$V,BASE_DATA!$G:$G,$Q$34,BASE_DATA!$A:$A,INDEX(PARAMS!$D$2:$D$5,MATCH($I$3,PARAMS!$C$2:$C$5,0)))/SUMIFS(BASE_DATA!$R:$R,BASE_DATA!$G:$G,$Q$34,BASE_DATA!$A:$A,INDEX(PARAMS!$D$2:$D$5,MATCH($I$3,PARAMS!$C$2:$C$5,0))),0),IFERROR(SUMIFS(BASE_DATA!$V:$V,BASE_DATA!$G:$G,$Q$34,BASE_DATA!$A:$A,INDEX(PARAMS!$D$2:$D$5,MATCH($I$3,PARAMS!$C$2:$C$5,0)))/SUMIFS(BASE_DATA!$R:$R,BASE_DATA!$G:$G,$Q$34,BASE_DATA!$A:$A,INDEX(PARAMS!$D$2:$D$5,MATCH($I$3,PARAMS!$C$2:$C$5,0)))*40,0)))</f>
        <v>0</v>
      </c>
      <c r="U34" s="57" t="n">
        <f aca="false">IF($K$3="Stats brutes",SUMIFS(BASE_DATA!$W:$W,BASE_DATA!$G:$G,$Q$34,BASE_DATA!$A:$A,INDEX(PARAMS!$D$2:$D$5,MATCH($I$3,PARAMS!$C$2:$C$5,0))),IF($K$3="Par minute jouée",IFERROR(SUMIFS(BASE_DATA!$W:$W,BASE_DATA!$G:$G,$Q$34,BASE_DATA!$A:$A,INDEX(PARAMS!$D$2:$D$5,MATCH($I$3,PARAMS!$C$2:$C$5,0)))/SUMIFS(BASE_DATA!$R:$R,BASE_DATA!$G:$G,$Q$34,BASE_DATA!$A:$A,INDEX(PARAMS!$D$2:$D$5,MATCH($I$3,PARAMS!$C$2:$C$5,0))),0),IFERROR(SUMIFS(BASE_DATA!$W:$W,BASE_DATA!$G:$G,$Q$34,BASE_DATA!$A:$A,INDEX(PARAMS!$D$2:$D$5,MATCH($I$3,PARAMS!$C$2:$C$5,0)))/SUMIFS(BASE_DATA!$R:$R,BASE_DATA!$G:$G,$Q$34,BASE_DATA!$A:$A,INDEX(PARAMS!$D$2:$D$5,MATCH($I$3,PARAMS!$C$2:$C$5,0)))*40,0)))</f>
        <v>0</v>
      </c>
      <c r="V34" s="57" t="n">
        <f aca="false">IF($K$3="Stats brutes",SUMIFS(BASE_DATA!$AN:$AN,BASE_DATA!$G:$G,$Q$34,BASE_DATA!$A:$A,INDEX(PARAMS!$D$2:$D$5,MATCH($I$3,PARAMS!$C$2:$C$5,0))),IF($K$3="Par minute jouée",IFERROR(SUMIFS(BASE_DATA!$AN:$AN,BASE_DATA!$G:$G,$Q$34,BASE_DATA!$A:$A,INDEX(PARAMS!$D$2:$D$5,MATCH($I$3,PARAMS!$C$2:$C$5,0)))/SUMIFS(BASE_DATA!$R:$R,BASE_DATA!$G:$G,$Q$34,BASE_DATA!$A:$A,INDEX(PARAMS!$D$2:$D$5,MATCH($I$3,PARAMS!$C$2:$C$5,0))),0),IFERROR(SUMIFS(BASE_DATA!$AN:$AN,BASE_DATA!$G:$G,$Q$34,BASE_DATA!$A:$A,INDEX(PARAMS!$D$2:$D$5,MATCH($I$3,PARAMS!$C$2:$C$5,0)))/SUMIFS(BASE_DATA!$R:$R,BASE_DATA!$G:$G,$Q$34,BASE_DATA!$A:$A,INDEX(PARAMS!$D$2:$D$5,MATCH($I$3,PARAMS!$C$2:$C$5,0)))*40,0)))</f>
        <v>0</v>
      </c>
      <c r="W34" s="57" t="n">
        <f aca="false">IF($K$3="Stats brutes",SUMIFS(BASE_DATA!$AO:$AO,BASE_DATA!$G:$G,$Q$34,BASE_DATA!$A:$A,INDEX(PARAMS!$D$2:$D$5,MATCH($I$3,PARAMS!$C$2:$C$5,0))),IF($K$3="Par minute jouée",IFERROR(SUMIFS(BASE_DATA!$AO:$AO,BASE_DATA!$G:$G,$Q$34,BASE_DATA!$A:$A,INDEX(PARAMS!$D$2:$D$5,MATCH($I$3,PARAMS!$C$2:$C$5,0)))/SUMIFS(BASE_DATA!$R:$R,BASE_DATA!$G:$G,$Q$34,BASE_DATA!$A:$A,INDEX(PARAMS!$D$2:$D$5,MATCH($I$3,PARAMS!$C$2:$C$5,0))),0),IFERROR(SUMIFS(BASE_DATA!$AO:$AO,BASE_DATA!$G:$G,$Q$34,BASE_DATA!$A:$A,INDEX(PARAMS!$D$2:$D$5,MATCH($I$3,PARAMS!$C$2:$C$5,0)))/SUMIFS(BASE_DATA!$R:$R,BASE_DATA!$G:$G,$Q$34,BASE_DATA!$A:$A,INDEX(PARAMS!$D$2:$D$5,MATCH($I$3,PARAMS!$C$2:$C$5,0)))*40,0)))</f>
        <v>0</v>
      </c>
      <c r="X34" s="57" t="n">
        <f aca="false">IF($K$3="Stats brutes",SUMIFS(BASE_DATA!$AA:$AA,BASE_DATA!$G:$G,$Q$34,BASE_DATA!$A:$A,INDEX(PARAMS!$D$2:$D$5,MATCH($I$3,PARAMS!$C$2:$C$5,0))),IF($K$3="Par minute jouée",IFERROR(SUMIFS(BASE_DATA!$AA:$AA,BASE_DATA!$G:$G,$Q$34,BASE_DATA!$A:$A,INDEX(PARAMS!$D$2:$D$5,MATCH($I$3,PARAMS!$C$2:$C$5,0)))/SUMIFS(BASE_DATA!$R:$R,BASE_DATA!$G:$G,$Q$34,BASE_DATA!$A:$A,INDEX(PARAMS!$D$2:$D$5,MATCH($I$3,PARAMS!$C$2:$C$5,0))),0),IFERROR(SUMIFS(BASE_DATA!$AA:$AA,BASE_DATA!$G:$G,$Q$34,BASE_DATA!$A:$A,INDEX(PARAMS!$D$2:$D$5,MATCH($I$3,PARAMS!$C$2:$C$5,0)))/SUMIFS(BASE_DATA!$R:$R,BASE_DATA!$G:$G,$Q$34,BASE_DATA!$A:$A,INDEX(PARAMS!$D$2:$D$5,MATCH($I$3,PARAMS!$C$2:$C$5,0)))*40,0)))</f>
        <v>0</v>
      </c>
      <c r="Y34" s="57" t="n">
        <f aca="false">IF($K$3="Stats brutes",SUMIFS(BASE_DATA!$AH:$AH,BASE_DATA!$G:$G,$Q$34,BASE_DATA!$A:$A,INDEX(PARAMS!$D$2:$D$5,MATCH($I$3,PARAMS!$C$2:$C$5,0))),IF($K$3="Par minute jouée",IFERROR(SUMIFS(BASE_DATA!$AH:$AH,BASE_DATA!$G:$G,$Q$34,BASE_DATA!$A:$A,INDEX(PARAMS!$D$2:$D$5,MATCH($I$3,PARAMS!$C$2:$C$5,0)))/SUMIFS(BASE_DATA!$R:$R,BASE_DATA!$G:$G,$Q$34,BASE_DATA!$A:$A,INDEX(PARAMS!$D$2:$D$5,MATCH($I$3,PARAMS!$C$2:$C$5,0))),0),IFERROR(SUMIFS(BASE_DATA!$AH:$AH,BASE_DATA!$G:$G,$Q$34,BASE_DATA!$A:$A,INDEX(PARAMS!$D$2:$D$5,MATCH($I$3,PARAMS!$C$2:$C$5,0)))/SUMIFS(BASE_DATA!$R:$R,BASE_DATA!$G:$G,$Q$34,BASE_DATA!$A:$A,INDEX(PARAMS!$D$2:$D$5,MATCH($I$3,PARAMS!$C$2:$C$5,0)))*40,0)))</f>
        <v>0</v>
      </c>
      <c r="Z34" s="57" t="n">
        <f aca="false">IF($K$3="Stats brutes",SUMIFS(BASE_DATA!$AI:$AI,BASE_DATA!$G:$G,$Q$34,BASE_DATA!$A:$A,INDEX(PARAMS!$D$2:$D$5,MATCH($I$3,PARAMS!$C$2:$C$5,0))),IF($K$3="Par minute jouée",IFERROR(SUMIFS(BASE_DATA!$AI:$AI,BASE_DATA!$G:$G,$Q$34,BASE_DATA!$A:$A,INDEX(PARAMS!$D$2:$D$5,MATCH($I$3,PARAMS!$C$2:$C$5,0)))/SUMIFS(BASE_DATA!$R:$R,BASE_DATA!$G:$G,$Q$34,BASE_DATA!$A:$A,INDEX(PARAMS!$D$2:$D$5,MATCH($I$3,PARAMS!$C$2:$C$5,0))),0),IFERROR(SUMIFS(BASE_DATA!$AI:$AI,BASE_DATA!$G:$G,$Q$34,BASE_DATA!$A:$A,INDEX(PARAMS!$D$2:$D$5,MATCH($I$3,PARAMS!$C$2:$C$5,0)))/SUMIFS(BASE_DATA!$R:$R,BASE_DATA!$G:$G,$Q$34,BASE_DATA!$A:$A,INDEX(PARAMS!$D$2:$D$5,MATCH($I$3,PARAMS!$C$2:$C$5,0)))*40,0)))</f>
        <v>0</v>
      </c>
      <c r="AA34" s="57" t="n">
        <f aca="false">IF($K$3="Stats brutes",SUMIFS(BASE_DATA!$AJ:$AJ,BASE_DATA!$G:$G,$Q$34,BASE_DATA!$A:$A,INDEX(PARAMS!$D$2:$D$5,MATCH($I$3,PARAMS!$C$2:$C$5,0))),IF($K$3="Par minute jouée",IFERROR(SUMIFS(BASE_DATA!$AJ:$AJ,BASE_DATA!$G:$G,$Q$34,BASE_DATA!$A:$A,INDEX(PARAMS!$D$2:$D$5,MATCH($I$3,PARAMS!$C$2:$C$5,0)))/SUMIFS(BASE_DATA!$R:$R,BASE_DATA!$G:$G,$Q$34,BASE_DATA!$A:$A,INDEX(PARAMS!$D$2:$D$5,MATCH($I$3,PARAMS!$C$2:$C$5,0))),0),IFERROR(SUMIFS(BASE_DATA!$AJ:$AJ,BASE_DATA!$G:$G,$Q$34,BASE_DATA!$A:$A,INDEX(PARAMS!$D$2:$D$5,MATCH($I$3,PARAMS!$C$2:$C$5,0)))/SUMIFS(BASE_DATA!$R:$R,BASE_DATA!$G:$G,$Q$34,BASE_DATA!$A:$A,INDEX(PARAMS!$D$2:$D$5,MATCH($I$3,PARAMS!$C$2:$C$5,0)))*40,0)))</f>
        <v>0</v>
      </c>
      <c r="AB34" s="57" t="n">
        <f aca="false">IF($K$3="Stats brutes",SUMIFS(BASE_DATA!$AK:$AK,BASE_DATA!$G:$G,$Q$34,BASE_DATA!$A:$A,INDEX(PARAMS!$D$2:$D$5,MATCH($I$3,PARAMS!$C$2:$C$5,0))),IF($K$3="Par minute jouée",IFERROR(SUMIFS(BASE_DATA!$AK:$AK,BASE_DATA!$G:$G,$Q$34,BASE_DATA!$A:$A,INDEX(PARAMS!$D$2:$D$5,MATCH($I$3,PARAMS!$C$2:$C$5,0)))/SUMIFS(BASE_DATA!$R:$R,BASE_DATA!$G:$G,$Q$34,BASE_DATA!$A:$A,INDEX(PARAMS!$D$2:$D$5,MATCH($I$3,PARAMS!$C$2:$C$5,0))),0),IFERROR(SUMIFS(BASE_DATA!$AK:$AK,BASE_DATA!$G:$G,$Q$34,BASE_DATA!$A:$A,INDEX(PARAMS!$D$2:$D$5,MATCH($I$3,PARAMS!$C$2:$C$5,0)))/SUMIFS(BASE_DATA!$R:$R,BASE_DATA!$G:$G,$Q$34,BASE_DATA!$A:$A,INDEX(PARAMS!$D$2:$D$5,MATCH($I$3,PARAMS!$C$2:$C$5,0)))*40,0)))</f>
        <v>0</v>
      </c>
      <c r="AC34" s="58" t="n">
        <f aca="false">SUMIFS(BASE_DATA!$R:$R,BASE_DATA!$G:$G,$Q$34,BASE_DATA!$A:$A,INDEX(PARAMS!$D$2:$D$5,MATCH($I$3,PARAMS!$C$2:$C$5,0)))</f>
        <v>0</v>
      </c>
      <c r="AD34" s="59" t="n">
        <f aca="false">COUNTIFS(BASE_DATA!$G:$G,$Q$34,BASE_DATA!$A:$A,INDEX(PARAMS!$D$2:$D$5,MATCH($I$3,PARAMS!$C$2:$C$5,0)))</f>
        <v>0</v>
      </c>
    </row>
    <row r="35" customFormat="false" ht="15" hidden="false" customHeight="false" outlineLevel="0" collapsed="false">
      <c r="I35" s="73"/>
      <c r="J35" s="73"/>
      <c r="Q35" s="56" t="s">
        <v>119</v>
      </c>
      <c r="R35" s="57" t="n">
        <f aca="false">IF($K$3="Stats brutes",SUMIFS(BASE_DATA!$T:$T,BASE_DATA!$G:$G,$Q$35,BASE_DATA!$A:$A,INDEX(PARAMS!$D$2:$D$5,MATCH($I$3,PARAMS!$C$2:$C$5,0))),IF($K$3="Par minute jouée",IFERROR(SUMIFS(BASE_DATA!$T:$T,BASE_DATA!$G:$G,$Q$35,BASE_DATA!$A:$A,INDEX(PARAMS!$D$2:$D$5,MATCH($I$3,PARAMS!$C$2:$C$5,0)))/SUMIFS(BASE_DATA!$R:$R,BASE_DATA!$G:$G,$Q$35,BASE_DATA!$A:$A,INDEX(PARAMS!$D$2:$D$5,MATCH($I$3,PARAMS!$C$2:$C$5,0))),0),IFERROR(SUMIFS(BASE_DATA!$T:$T,BASE_DATA!$G:$G,$Q$35,BASE_DATA!$A:$A,INDEX(PARAMS!$D$2:$D$5,MATCH($I$3,PARAMS!$C$2:$C$5,0)))/SUMIFS(BASE_DATA!$R:$R,BASE_DATA!$G:$G,$Q$35,BASE_DATA!$A:$A,INDEX(PARAMS!$D$2:$D$5,MATCH($I$3,PARAMS!$C$2:$C$5,0)))*40,0)))</f>
        <v>0</v>
      </c>
      <c r="S35" s="57" t="n">
        <f aca="false">IF($K$3="Stats brutes",SUMIFS(BASE_DATA!$U:$U,BASE_DATA!$G:$G,$Q$35,BASE_DATA!$A:$A,INDEX(PARAMS!$D$2:$D$5,MATCH($I$3,PARAMS!$C$2:$C$5,0))),IF($K$3="Par minute jouée",IFERROR(SUMIFS(BASE_DATA!$U:$U,BASE_DATA!$G:$G,$Q$35,BASE_DATA!$A:$A,INDEX(PARAMS!$D$2:$D$5,MATCH($I$3,PARAMS!$C$2:$C$5,0)))/SUMIFS(BASE_DATA!$R:$R,BASE_DATA!$G:$G,$Q$35,BASE_DATA!$A:$A,INDEX(PARAMS!$D$2:$D$5,MATCH($I$3,PARAMS!$C$2:$C$5,0))),0),IFERROR(SUMIFS(BASE_DATA!$U:$U,BASE_DATA!$G:$G,$Q$35,BASE_DATA!$A:$A,INDEX(PARAMS!$D$2:$D$5,MATCH($I$3,PARAMS!$C$2:$C$5,0)))/SUMIFS(BASE_DATA!$R:$R,BASE_DATA!$G:$G,$Q$35,BASE_DATA!$A:$A,INDEX(PARAMS!$D$2:$D$5,MATCH($I$3,PARAMS!$C$2:$C$5,0)))*40,0)))</f>
        <v>0</v>
      </c>
      <c r="T35" s="57" t="n">
        <f aca="false">IF($K$3="Stats brutes",SUMIFS(BASE_DATA!$V:$V,BASE_DATA!$G:$G,$Q$35,BASE_DATA!$A:$A,INDEX(PARAMS!$D$2:$D$5,MATCH($I$3,PARAMS!$C$2:$C$5,0))),IF($K$3="Par minute jouée",IFERROR(SUMIFS(BASE_DATA!$V:$V,BASE_DATA!$G:$G,$Q$35,BASE_DATA!$A:$A,INDEX(PARAMS!$D$2:$D$5,MATCH($I$3,PARAMS!$C$2:$C$5,0)))/SUMIFS(BASE_DATA!$R:$R,BASE_DATA!$G:$G,$Q$35,BASE_DATA!$A:$A,INDEX(PARAMS!$D$2:$D$5,MATCH($I$3,PARAMS!$C$2:$C$5,0))),0),IFERROR(SUMIFS(BASE_DATA!$V:$V,BASE_DATA!$G:$G,$Q$35,BASE_DATA!$A:$A,INDEX(PARAMS!$D$2:$D$5,MATCH($I$3,PARAMS!$C$2:$C$5,0)))/SUMIFS(BASE_DATA!$R:$R,BASE_DATA!$G:$G,$Q$35,BASE_DATA!$A:$A,INDEX(PARAMS!$D$2:$D$5,MATCH($I$3,PARAMS!$C$2:$C$5,0)))*40,0)))</f>
        <v>0</v>
      </c>
      <c r="U35" s="57" t="n">
        <f aca="false">IF($K$3="Stats brutes",SUMIFS(BASE_DATA!$W:$W,BASE_DATA!$G:$G,$Q$35,BASE_DATA!$A:$A,INDEX(PARAMS!$D$2:$D$5,MATCH($I$3,PARAMS!$C$2:$C$5,0))),IF($K$3="Par minute jouée",IFERROR(SUMIFS(BASE_DATA!$W:$W,BASE_DATA!$G:$G,$Q$35,BASE_DATA!$A:$A,INDEX(PARAMS!$D$2:$D$5,MATCH($I$3,PARAMS!$C$2:$C$5,0)))/SUMIFS(BASE_DATA!$R:$R,BASE_DATA!$G:$G,$Q$35,BASE_DATA!$A:$A,INDEX(PARAMS!$D$2:$D$5,MATCH($I$3,PARAMS!$C$2:$C$5,0))),0),IFERROR(SUMIFS(BASE_DATA!$W:$W,BASE_DATA!$G:$G,$Q$35,BASE_DATA!$A:$A,INDEX(PARAMS!$D$2:$D$5,MATCH($I$3,PARAMS!$C$2:$C$5,0)))/SUMIFS(BASE_DATA!$R:$R,BASE_DATA!$G:$G,$Q$35,BASE_DATA!$A:$A,INDEX(PARAMS!$D$2:$D$5,MATCH($I$3,PARAMS!$C$2:$C$5,0)))*40,0)))</f>
        <v>0</v>
      </c>
      <c r="V35" s="57" t="n">
        <f aca="false">IF($K$3="Stats brutes",SUMIFS(BASE_DATA!$AN:$AN,BASE_DATA!$G:$G,$Q$35,BASE_DATA!$A:$A,INDEX(PARAMS!$D$2:$D$5,MATCH($I$3,PARAMS!$C$2:$C$5,0))),IF($K$3="Par minute jouée",IFERROR(SUMIFS(BASE_DATA!$AN:$AN,BASE_DATA!$G:$G,$Q$35,BASE_DATA!$A:$A,INDEX(PARAMS!$D$2:$D$5,MATCH($I$3,PARAMS!$C$2:$C$5,0)))/SUMIFS(BASE_DATA!$R:$R,BASE_DATA!$G:$G,$Q$35,BASE_DATA!$A:$A,INDEX(PARAMS!$D$2:$D$5,MATCH($I$3,PARAMS!$C$2:$C$5,0))),0),IFERROR(SUMIFS(BASE_DATA!$AN:$AN,BASE_DATA!$G:$G,$Q$35,BASE_DATA!$A:$A,INDEX(PARAMS!$D$2:$D$5,MATCH($I$3,PARAMS!$C$2:$C$5,0)))/SUMIFS(BASE_DATA!$R:$R,BASE_DATA!$G:$G,$Q$35,BASE_DATA!$A:$A,INDEX(PARAMS!$D$2:$D$5,MATCH($I$3,PARAMS!$C$2:$C$5,0)))*40,0)))</f>
        <v>0</v>
      </c>
      <c r="W35" s="57" t="n">
        <f aca="false">IF($K$3="Stats brutes",SUMIFS(BASE_DATA!$AO:$AO,BASE_DATA!$G:$G,$Q$35,BASE_DATA!$A:$A,INDEX(PARAMS!$D$2:$D$5,MATCH($I$3,PARAMS!$C$2:$C$5,0))),IF($K$3="Par minute jouée",IFERROR(SUMIFS(BASE_DATA!$AO:$AO,BASE_DATA!$G:$G,$Q$35,BASE_DATA!$A:$A,INDEX(PARAMS!$D$2:$D$5,MATCH($I$3,PARAMS!$C$2:$C$5,0)))/SUMIFS(BASE_DATA!$R:$R,BASE_DATA!$G:$G,$Q$35,BASE_DATA!$A:$A,INDEX(PARAMS!$D$2:$D$5,MATCH($I$3,PARAMS!$C$2:$C$5,0))),0),IFERROR(SUMIFS(BASE_DATA!$AO:$AO,BASE_DATA!$G:$G,$Q$35,BASE_DATA!$A:$A,INDEX(PARAMS!$D$2:$D$5,MATCH($I$3,PARAMS!$C$2:$C$5,0)))/SUMIFS(BASE_DATA!$R:$R,BASE_DATA!$G:$G,$Q$35,BASE_DATA!$A:$A,INDEX(PARAMS!$D$2:$D$5,MATCH($I$3,PARAMS!$C$2:$C$5,0)))*40,0)))</f>
        <v>0</v>
      </c>
      <c r="X35" s="57" t="n">
        <f aca="false">IF($K$3="Stats brutes",SUMIFS(BASE_DATA!$AA:$AA,BASE_DATA!$G:$G,$Q$35,BASE_DATA!$A:$A,INDEX(PARAMS!$D$2:$D$5,MATCH($I$3,PARAMS!$C$2:$C$5,0))),IF($K$3="Par minute jouée",IFERROR(SUMIFS(BASE_DATA!$AA:$AA,BASE_DATA!$G:$G,$Q$35,BASE_DATA!$A:$A,INDEX(PARAMS!$D$2:$D$5,MATCH($I$3,PARAMS!$C$2:$C$5,0)))/SUMIFS(BASE_DATA!$R:$R,BASE_DATA!$G:$G,$Q$35,BASE_DATA!$A:$A,INDEX(PARAMS!$D$2:$D$5,MATCH($I$3,PARAMS!$C$2:$C$5,0))),0),IFERROR(SUMIFS(BASE_DATA!$AA:$AA,BASE_DATA!$G:$G,$Q$35,BASE_DATA!$A:$A,INDEX(PARAMS!$D$2:$D$5,MATCH($I$3,PARAMS!$C$2:$C$5,0)))/SUMIFS(BASE_DATA!$R:$R,BASE_DATA!$G:$G,$Q$35,BASE_DATA!$A:$A,INDEX(PARAMS!$D$2:$D$5,MATCH($I$3,PARAMS!$C$2:$C$5,0)))*40,0)))</f>
        <v>0</v>
      </c>
      <c r="Y35" s="57" t="n">
        <f aca="false">IF($K$3="Stats brutes",SUMIFS(BASE_DATA!$AH:$AH,BASE_DATA!$G:$G,$Q$35,BASE_DATA!$A:$A,INDEX(PARAMS!$D$2:$D$5,MATCH($I$3,PARAMS!$C$2:$C$5,0))),IF($K$3="Par minute jouée",IFERROR(SUMIFS(BASE_DATA!$AH:$AH,BASE_DATA!$G:$G,$Q$35,BASE_DATA!$A:$A,INDEX(PARAMS!$D$2:$D$5,MATCH($I$3,PARAMS!$C$2:$C$5,0)))/SUMIFS(BASE_DATA!$R:$R,BASE_DATA!$G:$G,$Q$35,BASE_DATA!$A:$A,INDEX(PARAMS!$D$2:$D$5,MATCH($I$3,PARAMS!$C$2:$C$5,0))),0),IFERROR(SUMIFS(BASE_DATA!$AH:$AH,BASE_DATA!$G:$G,$Q$35,BASE_DATA!$A:$A,INDEX(PARAMS!$D$2:$D$5,MATCH($I$3,PARAMS!$C$2:$C$5,0)))/SUMIFS(BASE_DATA!$R:$R,BASE_DATA!$G:$G,$Q$35,BASE_DATA!$A:$A,INDEX(PARAMS!$D$2:$D$5,MATCH($I$3,PARAMS!$C$2:$C$5,0)))*40,0)))</f>
        <v>0</v>
      </c>
      <c r="Z35" s="57" t="n">
        <f aca="false">IF($K$3="Stats brutes",SUMIFS(BASE_DATA!$AI:$AI,BASE_DATA!$G:$G,$Q$35,BASE_DATA!$A:$A,INDEX(PARAMS!$D$2:$D$5,MATCH($I$3,PARAMS!$C$2:$C$5,0))),IF($K$3="Par minute jouée",IFERROR(SUMIFS(BASE_DATA!$AI:$AI,BASE_DATA!$G:$G,$Q$35,BASE_DATA!$A:$A,INDEX(PARAMS!$D$2:$D$5,MATCH($I$3,PARAMS!$C$2:$C$5,0)))/SUMIFS(BASE_DATA!$R:$R,BASE_DATA!$G:$G,$Q$35,BASE_DATA!$A:$A,INDEX(PARAMS!$D$2:$D$5,MATCH($I$3,PARAMS!$C$2:$C$5,0))),0),IFERROR(SUMIFS(BASE_DATA!$AI:$AI,BASE_DATA!$G:$G,$Q$35,BASE_DATA!$A:$A,INDEX(PARAMS!$D$2:$D$5,MATCH($I$3,PARAMS!$C$2:$C$5,0)))/SUMIFS(BASE_DATA!$R:$R,BASE_DATA!$G:$G,$Q$35,BASE_DATA!$A:$A,INDEX(PARAMS!$D$2:$D$5,MATCH($I$3,PARAMS!$C$2:$C$5,0)))*40,0)))</f>
        <v>0</v>
      </c>
      <c r="AA35" s="57" t="n">
        <f aca="false">IF($K$3="Stats brutes",SUMIFS(BASE_DATA!$AJ:$AJ,BASE_DATA!$G:$G,$Q$35,BASE_DATA!$A:$A,INDEX(PARAMS!$D$2:$D$5,MATCH($I$3,PARAMS!$C$2:$C$5,0))),IF($K$3="Par minute jouée",IFERROR(SUMIFS(BASE_DATA!$AJ:$AJ,BASE_DATA!$G:$G,$Q$35,BASE_DATA!$A:$A,INDEX(PARAMS!$D$2:$D$5,MATCH($I$3,PARAMS!$C$2:$C$5,0)))/SUMIFS(BASE_DATA!$R:$R,BASE_DATA!$G:$G,$Q$35,BASE_DATA!$A:$A,INDEX(PARAMS!$D$2:$D$5,MATCH($I$3,PARAMS!$C$2:$C$5,0))),0),IFERROR(SUMIFS(BASE_DATA!$AJ:$AJ,BASE_DATA!$G:$G,$Q$35,BASE_DATA!$A:$A,INDEX(PARAMS!$D$2:$D$5,MATCH($I$3,PARAMS!$C$2:$C$5,0)))/SUMIFS(BASE_DATA!$R:$R,BASE_DATA!$G:$G,$Q$35,BASE_DATA!$A:$A,INDEX(PARAMS!$D$2:$D$5,MATCH($I$3,PARAMS!$C$2:$C$5,0)))*40,0)))</f>
        <v>0</v>
      </c>
      <c r="AB35" s="57" t="n">
        <f aca="false">IF($K$3="Stats brutes",SUMIFS(BASE_DATA!$AK:$AK,BASE_DATA!$G:$G,$Q$35,BASE_DATA!$A:$A,INDEX(PARAMS!$D$2:$D$5,MATCH($I$3,PARAMS!$C$2:$C$5,0))),IF($K$3="Par minute jouée",IFERROR(SUMIFS(BASE_DATA!$AK:$AK,BASE_DATA!$G:$G,$Q$35,BASE_DATA!$A:$A,INDEX(PARAMS!$D$2:$D$5,MATCH($I$3,PARAMS!$C$2:$C$5,0)))/SUMIFS(BASE_DATA!$R:$R,BASE_DATA!$G:$G,$Q$35,BASE_DATA!$A:$A,INDEX(PARAMS!$D$2:$D$5,MATCH($I$3,PARAMS!$C$2:$C$5,0))),0),IFERROR(SUMIFS(BASE_DATA!$AK:$AK,BASE_DATA!$G:$G,$Q$35,BASE_DATA!$A:$A,INDEX(PARAMS!$D$2:$D$5,MATCH($I$3,PARAMS!$C$2:$C$5,0)))/SUMIFS(BASE_DATA!$R:$R,BASE_DATA!$G:$G,$Q$35,BASE_DATA!$A:$A,INDEX(PARAMS!$D$2:$D$5,MATCH($I$3,PARAMS!$C$2:$C$5,0)))*40,0)))</f>
        <v>0</v>
      </c>
      <c r="AC35" s="58" t="n">
        <f aca="false">SUMIFS(BASE_DATA!$R:$R,BASE_DATA!$G:$G,$Q$35,BASE_DATA!$A:$A,INDEX(PARAMS!$D$2:$D$5,MATCH($I$3,PARAMS!$C$2:$C$5,0)))</f>
        <v>0</v>
      </c>
      <c r="AD35" s="59" t="n">
        <f aca="false">COUNTIFS(BASE_DATA!$G:$G,$Q$35,BASE_DATA!$A:$A,INDEX(PARAMS!$D$2:$D$5,MATCH($I$3,PARAMS!$C$2:$C$5,0)))</f>
        <v>0</v>
      </c>
    </row>
    <row r="36" customFormat="false" ht="15" hidden="false" customHeight="false" outlineLevel="0" collapsed="false">
      <c r="B36" s="89" t="s">
        <v>265</v>
      </c>
      <c r="C36" s="68"/>
      <c r="D36" s="68"/>
      <c r="E36" s="68"/>
      <c r="F36" s="68"/>
      <c r="I36" s="73"/>
      <c r="J36" s="73"/>
      <c r="Q36" s="56" t="s">
        <v>120</v>
      </c>
      <c r="R36" s="57" t="n">
        <f aca="false">IF($K$3="Stats brutes",SUMIFS(BASE_DATA!$T:$T,BASE_DATA!$G:$G,$Q$36,BASE_DATA!$A:$A,INDEX(PARAMS!$D$2:$D$5,MATCH($I$3,PARAMS!$C$2:$C$5,0))),IF($K$3="Par minute jouée",IFERROR(SUMIFS(BASE_DATA!$T:$T,BASE_DATA!$G:$G,$Q$36,BASE_DATA!$A:$A,INDEX(PARAMS!$D$2:$D$5,MATCH($I$3,PARAMS!$C$2:$C$5,0)))/SUMIFS(BASE_DATA!$R:$R,BASE_DATA!$G:$G,$Q$36,BASE_DATA!$A:$A,INDEX(PARAMS!$D$2:$D$5,MATCH($I$3,PARAMS!$C$2:$C$5,0))),0),IFERROR(SUMIFS(BASE_DATA!$T:$T,BASE_DATA!$G:$G,$Q$36,BASE_DATA!$A:$A,INDEX(PARAMS!$D$2:$D$5,MATCH($I$3,PARAMS!$C$2:$C$5,0)))/SUMIFS(BASE_DATA!$R:$R,BASE_DATA!$G:$G,$Q$36,BASE_DATA!$A:$A,INDEX(PARAMS!$D$2:$D$5,MATCH($I$3,PARAMS!$C$2:$C$5,0)))*40,0)))</f>
        <v>0</v>
      </c>
      <c r="S36" s="57" t="n">
        <f aca="false">IF($K$3="Stats brutes",SUMIFS(BASE_DATA!$U:$U,BASE_DATA!$G:$G,$Q$36,BASE_DATA!$A:$A,INDEX(PARAMS!$D$2:$D$5,MATCH($I$3,PARAMS!$C$2:$C$5,0))),IF($K$3="Par minute jouée",IFERROR(SUMIFS(BASE_DATA!$U:$U,BASE_DATA!$G:$G,$Q$36,BASE_DATA!$A:$A,INDEX(PARAMS!$D$2:$D$5,MATCH($I$3,PARAMS!$C$2:$C$5,0)))/SUMIFS(BASE_DATA!$R:$R,BASE_DATA!$G:$G,$Q$36,BASE_DATA!$A:$A,INDEX(PARAMS!$D$2:$D$5,MATCH($I$3,PARAMS!$C$2:$C$5,0))),0),IFERROR(SUMIFS(BASE_DATA!$U:$U,BASE_DATA!$G:$G,$Q$36,BASE_DATA!$A:$A,INDEX(PARAMS!$D$2:$D$5,MATCH($I$3,PARAMS!$C$2:$C$5,0)))/SUMIFS(BASE_DATA!$R:$R,BASE_DATA!$G:$G,$Q$36,BASE_DATA!$A:$A,INDEX(PARAMS!$D$2:$D$5,MATCH($I$3,PARAMS!$C$2:$C$5,0)))*40,0)))</f>
        <v>0</v>
      </c>
      <c r="T36" s="57" t="n">
        <f aca="false">IF($K$3="Stats brutes",SUMIFS(BASE_DATA!$V:$V,BASE_DATA!$G:$G,$Q$36,BASE_DATA!$A:$A,INDEX(PARAMS!$D$2:$D$5,MATCH($I$3,PARAMS!$C$2:$C$5,0))),IF($K$3="Par minute jouée",IFERROR(SUMIFS(BASE_DATA!$V:$V,BASE_DATA!$G:$G,$Q$36,BASE_DATA!$A:$A,INDEX(PARAMS!$D$2:$D$5,MATCH($I$3,PARAMS!$C$2:$C$5,0)))/SUMIFS(BASE_DATA!$R:$R,BASE_DATA!$G:$G,$Q$36,BASE_DATA!$A:$A,INDEX(PARAMS!$D$2:$D$5,MATCH($I$3,PARAMS!$C$2:$C$5,0))),0),IFERROR(SUMIFS(BASE_DATA!$V:$V,BASE_DATA!$G:$G,$Q$36,BASE_DATA!$A:$A,INDEX(PARAMS!$D$2:$D$5,MATCH($I$3,PARAMS!$C$2:$C$5,0)))/SUMIFS(BASE_DATA!$R:$R,BASE_DATA!$G:$G,$Q$36,BASE_DATA!$A:$A,INDEX(PARAMS!$D$2:$D$5,MATCH($I$3,PARAMS!$C$2:$C$5,0)))*40,0)))</f>
        <v>0</v>
      </c>
      <c r="U36" s="57" t="n">
        <f aca="false">IF($K$3="Stats brutes",SUMIFS(BASE_DATA!$W:$W,BASE_DATA!$G:$G,$Q$36,BASE_DATA!$A:$A,INDEX(PARAMS!$D$2:$D$5,MATCH($I$3,PARAMS!$C$2:$C$5,0))),IF($K$3="Par minute jouée",IFERROR(SUMIFS(BASE_DATA!$W:$W,BASE_DATA!$G:$G,$Q$36,BASE_DATA!$A:$A,INDEX(PARAMS!$D$2:$D$5,MATCH($I$3,PARAMS!$C$2:$C$5,0)))/SUMIFS(BASE_DATA!$R:$R,BASE_DATA!$G:$G,$Q$36,BASE_DATA!$A:$A,INDEX(PARAMS!$D$2:$D$5,MATCH($I$3,PARAMS!$C$2:$C$5,0))),0),IFERROR(SUMIFS(BASE_DATA!$W:$W,BASE_DATA!$G:$G,$Q$36,BASE_DATA!$A:$A,INDEX(PARAMS!$D$2:$D$5,MATCH($I$3,PARAMS!$C$2:$C$5,0)))/SUMIFS(BASE_DATA!$R:$R,BASE_DATA!$G:$G,$Q$36,BASE_DATA!$A:$A,INDEX(PARAMS!$D$2:$D$5,MATCH($I$3,PARAMS!$C$2:$C$5,0)))*40,0)))</f>
        <v>0</v>
      </c>
      <c r="V36" s="57" t="n">
        <f aca="false">IF($K$3="Stats brutes",SUMIFS(BASE_DATA!$AN:$AN,BASE_DATA!$G:$G,$Q$36,BASE_DATA!$A:$A,INDEX(PARAMS!$D$2:$D$5,MATCH($I$3,PARAMS!$C$2:$C$5,0))),IF($K$3="Par minute jouée",IFERROR(SUMIFS(BASE_DATA!$AN:$AN,BASE_DATA!$G:$G,$Q$36,BASE_DATA!$A:$A,INDEX(PARAMS!$D$2:$D$5,MATCH($I$3,PARAMS!$C$2:$C$5,0)))/SUMIFS(BASE_DATA!$R:$R,BASE_DATA!$G:$G,$Q$36,BASE_DATA!$A:$A,INDEX(PARAMS!$D$2:$D$5,MATCH($I$3,PARAMS!$C$2:$C$5,0))),0),IFERROR(SUMIFS(BASE_DATA!$AN:$AN,BASE_DATA!$G:$G,$Q$36,BASE_DATA!$A:$A,INDEX(PARAMS!$D$2:$D$5,MATCH($I$3,PARAMS!$C$2:$C$5,0)))/SUMIFS(BASE_DATA!$R:$R,BASE_DATA!$G:$G,$Q$36,BASE_DATA!$A:$A,INDEX(PARAMS!$D$2:$D$5,MATCH($I$3,PARAMS!$C$2:$C$5,0)))*40,0)))</f>
        <v>0</v>
      </c>
      <c r="W36" s="57" t="n">
        <f aca="false">IF($K$3="Stats brutes",SUMIFS(BASE_DATA!$AO:$AO,BASE_DATA!$G:$G,$Q$36,BASE_DATA!$A:$A,INDEX(PARAMS!$D$2:$D$5,MATCH($I$3,PARAMS!$C$2:$C$5,0))),IF($K$3="Par minute jouée",IFERROR(SUMIFS(BASE_DATA!$AO:$AO,BASE_DATA!$G:$G,$Q$36,BASE_DATA!$A:$A,INDEX(PARAMS!$D$2:$D$5,MATCH($I$3,PARAMS!$C$2:$C$5,0)))/SUMIFS(BASE_DATA!$R:$R,BASE_DATA!$G:$G,$Q$36,BASE_DATA!$A:$A,INDEX(PARAMS!$D$2:$D$5,MATCH($I$3,PARAMS!$C$2:$C$5,0))),0),IFERROR(SUMIFS(BASE_DATA!$AO:$AO,BASE_DATA!$G:$G,$Q$36,BASE_DATA!$A:$A,INDEX(PARAMS!$D$2:$D$5,MATCH($I$3,PARAMS!$C$2:$C$5,0)))/SUMIFS(BASE_DATA!$R:$R,BASE_DATA!$G:$G,$Q$36,BASE_DATA!$A:$A,INDEX(PARAMS!$D$2:$D$5,MATCH($I$3,PARAMS!$C$2:$C$5,0)))*40,0)))</f>
        <v>0</v>
      </c>
      <c r="X36" s="57" t="n">
        <f aca="false">IF($K$3="Stats brutes",SUMIFS(BASE_DATA!$AA:$AA,BASE_DATA!$G:$G,$Q$36,BASE_DATA!$A:$A,INDEX(PARAMS!$D$2:$D$5,MATCH($I$3,PARAMS!$C$2:$C$5,0))),IF($K$3="Par minute jouée",IFERROR(SUMIFS(BASE_DATA!$AA:$AA,BASE_DATA!$G:$G,$Q$36,BASE_DATA!$A:$A,INDEX(PARAMS!$D$2:$D$5,MATCH($I$3,PARAMS!$C$2:$C$5,0)))/SUMIFS(BASE_DATA!$R:$R,BASE_DATA!$G:$G,$Q$36,BASE_DATA!$A:$A,INDEX(PARAMS!$D$2:$D$5,MATCH($I$3,PARAMS!$C$2:$C$5,0))),0),IFERROR(SUMIFS(BASE_DATA!$AA:$AA,BASE_DATA!$G:$G,$Q$36,BASE_DATA!$A:$A,INDEX(PARAMS!$D$2:$D$5,MATCH($I$3,PARAMS!$C$2:$C$5,0)))/SUMIFS(BASE_DATA!$R:$R,BASE_DATA!$G:$G,$Q$36,BASE_DATA!$A:$A,INDEX(PARAMS!$D$2:$D$5,MATCH($I$3,PARAMS!$C$2:$C$5,0)))*40,0)))</f>
        <v>0</v>
      </c>
      <c r="Y36" s="57" t="n">
        <f aca="false">IF($K$3="Stats brutes",SUMIFS(BASE_DATA!$AH:$AH,BASE_DATA!$G:$G,$Q$36,BASE_DATA!$A:$A,INDEX(PARAMS!$D$2:$D$5,MATCH($I$3,PARAMS!$C$2:$C$5,0))),IF($K$3="Par minute jouée",IFERROR(SUMIFS(BASE_DATA!$AH:$AH,BASE_DATA!$G:$G,$Q$36,BASE_DATA!$A:$A,INDEX(PARAMS!$D$2:$D$5,MATCH($I$3,PARAMS!$C$2:$C$5,0)))/SUMIFS(BASE_DATA!$R:$R,BASE_DATA!$G:$G,$Q$36,BASE_DATA!$A:$A,INDEX(PARAMS!$D$2:$D$5,MATCH($I$3,PARAMS!$C$2:$C$5,0))),0),IFERROR(SUMIFS(BASE_DATA!$AH:$AH,BASE_DATA!$G:$G,$Q$36,BASE_DATA!$A:$A,INDEX(PARAMS!$D$2:$D$5,MATCH($I$3,PARAMS!$C$2:$C$5,0)))/SUMIFS(BASE_DATA!$R:$R,BASE_DATA!$G:$G,$Q$36,BASE_DATA!$A:$A,INDEX(PARAMS!$D$2:$D$5,MATCH($I$3,PARAMS!$C$2:$C$5,0)))*40,0)))</f>
        <v>0</v>
      </c>
      <c r="Z36" s="57" t="n">
        <f aca="false">IF($K$3="Stats brutes",SUMIFS(BASE_DATA!$AI:$AI,BASE_DATA!$G:$G,$Q$36,BASE_DATA!$A:$A,INDEX(PARAMS!$D$2:$D$5,MATCH($I$3,PARAMS!$C$2:$C$5,0))),IF($K$3="Par minute jouée",IFERROR(SUMIFS(BASE_DATA!$AI:$AI,BASE_DATA!$G:$G,$Q$36,BASE_DATA!$A:$A,INDEX(PARAMS!$D$2:$D$5,MATCH($I$3,PARAMS!$C$2:$C$5,0)))/SUMIFS(BASE_DATA!$R:$R,BASE_DATA!$G:$G,$Q$36,BASE_DATA!$A:$A,INDEX(PARAMS!$D$2:$D$5,MATCH($I$3,PARAMS!$C$2:$C$5,0))),0),IFERROR(SUMIFS(BASE_DATA!$AI:$AI,BASE_DATA!$G:$G,$Q$36,BASE_DATA!$A:$A,INDEX(PARAMS!$D$2:$D$5,MATCH($I$3,PARAMS!$C$2:$C$5,0)))/SUMIFS(BASE_DATA!$R:$R,BASE_DATA!$G:$G,$Q$36,BASE_DATA!$A:$A,INDEX(PARAMS!$D$2:$D$5,MATCH($I$3,PARAMS!$C$2:$C$5,0)))*40,0)))</f>
        <v>0</v>
      </c>
      <c r="AA36" s="57" t="n">
        <f aca="false">IF($K$3="Stats brutes",SUMIFS(BASE_DATA!$AJ:$AJ,BASE_DATA!$G:$G,$Q$36,BASE_DATA!$A:$A,INDEX(PARAMS!$D$2:$D$5,MATCH($I$3,PARAMS!$C$2:$C$5,0))),IF($K$3="Par minute jouée",IFERROR(SUMIFS(BASE_DATA!$AJ:$AJ,BASE_DATA!$G:$G,$Q$36,BASE_DATA!$A:$A,INDEX(PARAMS!$D$2:$D$5,MATCH($I$3,PARAMS!$C$2:$C$5,0)))/SUMIFS(BASE_DATA!$R:$R,BASE_DATA!$G:$G,$Q$36,BASE_DATA!$A:$A,INDEX(PARAMS!$D$2:$D$5,MATCH($I$3,PARAMS!$C$2:$C$5,0))),0),IFERROR(SUMIFS(BASE_DATA!$AJ:$AJ,BASE_DATA!$G:$G,$Q$36,BASE_DATA!$A:$A,INDEX(PARAMS!$D$2:$D$5,MATCH($I$3,PARAMS!$C$2:$C$5,0)))/SUMIFS(BASE_DATA!$R:$R,BASE_DATA!$G:$G,$Q$36,BASE_DATA!$A:$A,INDEX(PARAMS!$D$2:$D$5,MATCH($I$3,PARAMS!$C$2:$C$5,0)))*40,0)))</f>
        <v>0</v>
      </c>
      <c r="AB36" s="57" t="n">
        <f aca="false">IF($K$3="Stats brutes",SUMIFS(BASE_DATA!$AK:$AK,BASE_DATA!$G:$G,$Q$36,BASE_DATA!$A:$A,INDEX(PARAMS!$D$2:$D$5,MATCH($I$3,PARAMS!$C$2:$C$5,0))),IF($K$3="Par minute jouée",IFERROR(SUMIFS(BASE_DATA!$AK:$AK,BASE_DATA!$G:$G,$Q$36,BASE_DATA!$A:$A,INDEX(PARAMS!$D$2:$D$5,MATCH($I$3,PARAMS!$C$2:$C$5,0)))/SUMIFS(BASE_DATA!$R:$R,BASE_DATA!$G:$G,$Q$36,BASE_DATA!$A:$A,INDEX(PARAMS!$D$2:$D$5,MATCH($I$3,PARAMS!$C$2:$C$5,0))),0),IFERROR(SUMIFS(BASE_DATA!$AK:$AK,BASE_DATA!$G:$G,$Q$36,BASE_DATA!$A:$A,INDEX(PARAMS!$D$2:$D$5,MATCH($I$3,PARAMS!$C$2:$C$5,0)))/SUMIFS(BASE_DATA!$R:$R,BASE_DATA!$G:$G,$Q$36,BASE_DATA!$A:$A,INDEX(PARAMS!$D$2:$D$5,MATCH($I$3,PARAMS!$C$2:$C$5,0)))*40,0)))</f>
        <v>0</v>
      </c>
      <c r="AC36" s="58" t="n">
        <f aca="false">SUMIFS(BASE_DATA!$R:$R,BASE_DATA!$G:$G,$Q$36,BASE_DATA!$A:$A,INDEX(PARAMS!$D$2:$D$5,MATCH($I$3,PARAMS!$C$2:$C$5,0)))</f>
        <v>0</v>
      </c>
      <c r="AD36" s="59" t="n">
        <f aca="false">COUNTIFS(BASE_DATA!$G:$G,$Q$36,BASE_DATA!$A:$A,INDEX(PARAMS!$D$2:$D$5,MATCH($I$3,PARAMS!$C$2:$C$5,0)))</f>
        <v>0</v>
      </c>
    </row>
    <row r="37" customFormat="false" ht="15" hidden="false" customHeight="false" outlineLevel="0" collapsed="false">
      <c r="B37" s="89" t="s">
        <v>266</v>
      </c>
      <c r="C37" s="68"/>
      <c r="D37" s="68"/>
      <c r="E37" s="68"/>
      <c r="F37" s="68"/>
      <c r="I37" s="73"/>
      <c r="J37" s="73"/>
      <c r="Q37" s="56" t="s">
        <v>40</v>
      </c>
      <c r="R37" s="57" t="n">
        <f aca="false">IF($K$3="Stats brutes",SUMIFS(BASE_DATA!$T:$T,BASE_DATA!$G:$G,$Q$37,BASE_DATA!$A:$A,INDEX(PARAMS!$D$2:$D$5,MATCH($I$3,PARAMS!$C$2:$C$5,0))),IF($K$3="Par minute jouée",IFERROR(SUMIFS(BASE_DATA!$T:$T,BASE_DATA!$G:$G,$Q$37,BASE_DATA!$A:$A,INDEX(PARAMS!$D$2:$D$5,MATCH($I$3,PARAMS!$C$2:$C$5,0)))/SUMIFS(BASE_DATA!$R:$R,BASE_DATA!$G:$G,$Q$37,BASE_DATA!$A:$A,INDEX(PARAMS!$D$2:$D$5,MATCH($I$3,PARAMS!$C$2:$C$5,0))),0),IFERROR(SUMIFS(BASE_DATA!$T:$T,BASE_DATA!$G:$G,$Q$37,BASE_DATA!$A:$A,INDEX(PARAMS!$D$2:$D$5,MATCH($I$3,PARAMS!$C$2:$C$5,0)))/SUMIFS(BASE_DATA!$R:$R,BASE_DATA!$G:$G,$Q$37,BASE_DATA!$A:$A,INDEX(PARAMS!$D$2:$D$5,MATCH($I$3,PARAMS!$C$2:$C$5,0)))*40,0)))</f>
        <v>0</v>
      </c>
      <c r="S37" s="57" t="n">
        <f aca="false">IF($K$3="Stats brutes",SUMIFS(BASE_DATA!$U:$U,BASE_DATA!$G:$G,$Q$37,BASE_DATA!$A:$A,INDEX(PARAMS!$D$2:$D$5,MATCH($I$3,PARAMS!$C$2:$C$5,0))),IF($K$3="Par minute jouée",IFERROR(SUMIFS(BASE_DATA!$U:$U,BASE_DATA!$G:$G,$Q$37,BASE_DATA!$A:$A,INDEX(PARAMS!$D$2:$D$5,MATCH($I$3,PARAMS!$C$2:$C$5,0)))/SUMIFS(BASE_DATA!$R:$R,BASE_DATA!$G:$G,$Q$37,BASE_DATA!$A:$A,INDEX(PARAMS!$D$2:$D$5,MATCH($I$3,PARAMS!$C$2:$C$5,0))),0),IFERROR(SUMIFS(BASE_DATA!$U:$U,BASE_DATA!$G:$G,$Q$37,BASE_DATA!$A:$A,INDEX(PARAMS!$D$2:$D$5,MATCH($I$3,PARAMS!$C$2:$C$5,0)))/SUMIFS(BASE_DATA!$R:$R,BASE_DATA!$G:$G,$Q$37,BASE_DATA!$A:$A,INDEX(PARAMS!$D$2:$D$5,MATCH($I$3,PARAMS!$C$2:$C$5,0)))*40,0)))</f>
        <v>0</v>
      </c>
      <c r="T37" s="57" t="n">
        <f aca="false">IF($K$3="Stats brutes",SUMIFS(BASE_DATA!$V:$V,BASE_DATA!$G:$G,$Q$37,BASE_DATA!$A:$A,INDEX(PARAMS!$D$2:$D$5,MATCH($I$3,PARAMS!$C$2:$C$5,0))),IF($K$3="Par minute jouée",IFERROR(SUMIFS(BASE_DATA!$V:$V,BASE_DATA!$G:$G,$Q$37,BASE_DATA!$A:$A,INDEX(PARAMS!$D$2:$D$5,MATCH($I$3,PARAMS!$C$2:$C$5,0)))/SUMIFS(BASE_DATA!$R:$R,BASE_DATA!$G:$G,$Q$37,BASE_DATA!$A:$A,INDEX(PARAMS!$D$2:$D$5,MATCH($I$3,PARAMS!$C$2:$C$5,0))),0),IFERROR(SUMIFS(BASE_DATA!$V:$V,BASE_DATA!$G:$G,$Q$37,BASE_DATA!$A:$A,INDEX(PARAMS!$D$2:$D$5,MATCH($I$3,PARAMS!$C$2:$C$5,0)))/SUMIFS(BASE_DATA!$R:$R,BASE_DATA!$G:$G,$Q$37,BASE_DATA!$A:$A,INDEX(PARAMS!$D$2:$D$5,MATCH($I$3,PARAMS!$C$2:$C$5,0)))*40,0)))</f>
        <v>2</v>
      </c>
      <c r="U37" s="57" t="n">
        <f aca="false">IF($K$3="Stats brutes",SUMIFS(BASE_DATA!$W:$W,BASE_DATA!$G:$G,$Q$37,BASE_DATA!$A:$A,INDEX(PARAMS!$D$2:$D$5,MATCH($I$3,PARAMS!$C$2:$C$5,0))),IF($K$3="Par minute jouée",IFERROR(SUMIFS(BASE_DATA!$W:$W,BASE_DATA!$G:$G,$Q$37,BASE_DATA!$A:$A,INDEX(PARAMS!$D$2:$D$5,MATCH($I$3,PARAMS!$C$2:$C$5,0)))/SUMIFS(BASE_DATA!$R:$R,BASE_DATA!$G:$G,$Q$37,BASE_DATA!$A:$A,INDEX(PARAMS!$D$2:$D$5,MATCH($I$3,PARAMS!$C$2:$C$5,0))),0),IFERROR(SUMIFS(BASE_DATA!$W:$W,BASE_DATA!$G:$G,$Q$37,BASE_DATA!$A:$A,INDEX(PARAMS!$D$2:$D$5,MATCH($I$3,PARAMS!$C$2:$C$5,0)))/SUMIFS(BASE_DATA!$R:$R,BASE_DATA!$G:$G,$Q$37,BASE_DATA!$A:$A,INDEX(PARAMS!$D$2:$D$5,MATCH($I$3,PARAMS!$C$2:$C$5,0)))*40,0)))</f>
        <v>1</v>
      </c>
      <c r="V37" s="57" t="n">
        <f aca="false">IF($K$3="Stats brutes",SUMIFS(BASE_DATA!$AN:$AN,BASE_DATA!$G:$G,$Q$37,BASE_DATA!$A:$A,INDEX(PARAMS!$D$2:$D$5,MATCH($I$3,PARAMS!$C$2:$C$5,0))),IF($K$3="Par minute jouée",IFERROR(SUMIFS(BASE_DATA!$AN:$AN,BASE_DATA!$G:$G,$Q$37,BASE_DATA!$A:$A,INDEX(PARAMS!$D$2:$D$5,MATCH($I$3,PARAMS!$C$2:$C$5,0)))/SUMIFS(BASE_DATA!$R:$R,BASE_DATA!$G:$G,$Q$37,BASE_DATA!$A:$A,INDEX(PARAMS!$D$2:$D$5,MATCH($I$3,PARAMS!$C$2:$C$5,0))),0),IFERROR(SUMIFS(BASE_DATA!$AN:$AN,BASE_DATA!$G:$G,$Q$37,BASE_DATA!$A:$A,INDEX(PARAMS!$D$2:$D$5,MATCH($I$3,PARAMS!$C$2:$C$5,0)))/SUMIFS(BASE_DATA!$R:$R,BASE_DATA!$G:$G,$Q$37,BASE_DATA!$A:$A,INDEX(PARAMS!$D$2:$D$5,MATCH($I$3,PARAMS!$C$2:$C$5,0)))*40,0)))</f>
        <v>3</v>
      </c>
      <c r="W37" s="57" t="n">
        <f aca="false">IF($K$3="Stats brutes",SUMIFS(BASE_DATA!$AO:$AO,BASE_DATA!$G:$G,$Q$37,BASE_DATA!$A:$A,INDEX(PARAMS!$D$2:$D$5,MATCH($I$3,PARAMS!$C$2:$C$5,0))),IF($K$3="Par minute jouée",IFERROR(SUMIFS(BASE_DATA!$AO:$AO,BASE_DATA!$G:$G,$Q$37,BASE_DATA!$A:$A,INDEX(PARAMS!$D$2:$D$5,MATCH($I$3,PARAMS!$C$2:$C$5,0)))/SUMIFS(BASE_DATA!$R:$R,BASE_DATA!$G:$G,$Q$37,BASE_DATA!$A:$A,INDEX(PARAMS!$D$2:$D$5,MATCH($I$3,PARAMS!$C$2:$C$5,0))),0),IFERROR(SUMIFS(BASE_DATA!$AO:$AO,BASE_DATA!$G:$G,$Q$37,BASE_DATA!$A:$A,INDEX(PARAMS!$D$2:$D$5,MATCH($I$3,PARAMS!$C$2:$C$5,0)))/SUMIFS(BASE_DATA!$R:$R,BASE_DATA!$G:$G,$Q$37,BASE_DATA!$A:$A,INDEX(PARAMS!$D$2:$D$5,MATCH($I$3,PARAMS!$C$2:$C$5,0)))*40,0)))</f>
        <v>0</v>
      </c>
      <c r="X37" s="57" t="n">
        <f aca="false">IF($K$3="Stats brutes",SUMIFS(BASE_DATA!$AA:$AA,BASE_DATA!$G:$G,$Q$37,BASE_DATA!$A:$A,INDEX(PARAMS!$D$2:$D$5,MATCH($I$3,PARAMS!$C$2:$C$5,0))),IF($K$3="Par minute jouée",IFERROR(SUMIFS(BASE_DATA!$AA:$AA,BASE_DATA!$G:$G,$Q$37,BASE_DATA!$A:$A,INDEX(PARAMS!$D$2:$D$5,MATCH($I$3,PARAMS!$C$2:$C$5,0)))/SUMIFS(BASE_DATA!$R:$R,BASE_DATA!$G:$G,$Q$37,BASE_DATA!$A:$A,INDEX(PARAMS!$D$2:$D$5,MATCH($I$3,PARAMS!$C$2:$C$5,0))),0),IFERROR(SUMIFS(BASE_DATA!$AA:$AA,BASE_DATA!$G:$G,$Q$37,BASE_DATA!$A:$A,INDEX(PARAMS!$D$2:$D$5,MATCH($I$3,PARAMS!$C$2:$C$5,0)))/SUMIFS(BASE_DATA!$R:$R,BASE_DATA!$G:$G,$Q$37,BASE_DATA!$A:$A,INDEX(PARAMS!$D$2:$D$5,MATCH($I$3,PARAMS!$C$2:$C$5,0)))*40,0)))</f>
        <v>10</v>
      </c>
      <c r="Y37" s="57" t="n">
        <f aca="false">IF($K$3="Stats brutes",SUMIFS(BASE_DATA!$AH:$AH,BASE_DATA!$G:$G,$Q$37,BASE_DATA!$A:$A,INDEX(PARAMS!$D$2:$D$5,MATCH($I$3,PARAMS!$C$2:$C$5,0))),IF($K$3="Par minute jouée",IFERROR(SUMIFS(BASE_DATA!$AH:$AH,BASE_DATA!$G:$G,$Q$37,BASE_DATA!$A:$A,INDEX(PARAMS!$D$2:$D$5,MATCH($I$3,PARAMS!$C$2:$C$5,0)))/SUMIFS(BASE_DATA!$R:$R,BASE_DATA!$G:$G,$Q$37,BASE_DATA!$A:$A,INDEX(PARAMS!$D$2:$D$5,MATCH($I$3,PARAMS!$C$2:$C$5,0))),0),IFERROR(SUMIFS(BASE_DATA!$AH:$AH,BASE_DATA!$G:$G,$Q$37,BASE_DATA!$A:$A,INDEX(PARAMS!$D$2:$D$5,MATCH($I$3,PARAMS!$C$2:$C$5,0)))/SUMIFS(BASE_DATA!$R:$R,BASE_DATA!$G:$G,$Q$37,BASE_DATA!$A:$A,INDEX(PARAMS!$D$2:$D$5,MATCH($I$3,PARAMS!$C$2:$C$5,0)))*40,0)))</f>
        <v>1</v>
      </c>
      <c r="Z37" s="57" t="n">
        <f aca="false">IF($K$3="Stats brutes",SUMIFS(BASE_DATA!$AI:$AI,BASE_DATA!$G:$G,$Q$37,BASE_DATA!$A:$A,INDEX(PARAMS!$D$2:$D$5,MATCH($I$3,PARAMS!$C$2:$C$5,0))),IF($K$3="Par minute jouée",IFERROR(SUMIFS(BASE_DATA!$AI:$AI,BASE_DATA!$G:$G,$Q$37,BASE_DATA!$A:$A,INDEX(PARAMS!$D$2:$D$5,MATCH($I$3,PARAMS!$C$2:$C$5,0)))/SUMIFS(BASE_DATA!$R:$R,BASE_DATA!$G:$G,$Q$37,BASE_DATA!$A:$A,INDEX(PARAMS!$D$2:$D$5,MATCH($I$3,PARAMS!$C$2:$C$5,0))),0),IFERROR(SUMIFS(BASE_DATA!$AI:$AI,BASE_DATA!$G:$G,$Q$37,BASE_DATA!$A:$A,INDEX(PARAMS!$D$2:$D$5,MATCH($I$3,PARAMS!$C$2:$C$5,0)))/SUMIFS(BASE_DATA!$R:$R,BASE_DATA!$G:$G,$Q$37,BASE_DATA!$A:$A,INDEX(PARAMS!$D$2:$D$5,MATCH($I$3,PARAMS!$C$2:$C$5,0)))*40,0)))</f>
        <v>3</v>
      </c>
      <c r="AA37" s="57" t="n">
        <f aca="false">IF($K$3="Stats brutes",SUMIFS(BASE_DATA!$AJ:$AJ,BASE_DATA!$G:$G,$Q$37,BASE_DATA!$A:$A,INDEX(PARAMS!$D$2:$D$5,MATCH($I$3,PARAMS!$C$2:$C$5,0))),IF($K$3="Par minute jouée",IFERROR(SUMIFS(BASE_DATA!$AJ:$AJ,BASE_DATA!$G:$G,$Q$37,BASE_DATA!$A:$A,INDEX(PARAMS!$D$2:$D$5,MATCH($I$3,PARAMS!$C$2:$C$5,0)))/SUMIFS(BASE_DATA!$R:$R,BASE_DATA!$G:$G,$Q$37,BASE_DATA!$A:$A,INDEX(PARAMS!$D$2:$D$5,MATCH($I$3,PARAMS!$C$2:$C$5,0))),0),IFERROR(SUMIFS(BASE_DATA!$AJ:$AJ,BASE_DATA!$G:$G,$Q$37,BASE_DATA!$A:$A,INDEX(PARAMS!$D$2:$D$5,MATCH($I$3,PARAMS!$C$2:$C$5,0)))/SUMIFS(BASE_DATA!$R:$R,BASE_DATA!$G:$G,$Q$37,BASE_DATA!$A:$A,INDEX(PARAMS!$D$2:$D$5,MATCH($I$3,PARAMS!$C$2:$C$5,0)))*40,0)))</f>
        <v>1</v>
      </c>
      <c r="AB37" s="57" t="n">
        <f aca="false">IF($K$3="Stats brutes",SUMIFS(BASE_DATA!$AK:$AK,BASE_DATA!$G:$G,$Q$37,BASE_DATA!$A:$A,INDEX(PARAMS!$D$2:$D$5,MATCH($I$3,PARAMS!$C$2:$C$5,0))),IF($K$3="Par minute jouée",IFERROR(SUMIFS(BASE_DATA!$AK:$AK,BASE_DATA!$G:$G,$Q$37,BASE_DATA!$A:$A,INDEX(PARAMS!$D$2:$D$5,MATCH($I$3,PARAMS!$C$2:$C$5,0)))/SUMIFS(BASE_DATA!$R:$R,BASE_DATA!$G:$G,$Q$37,BASE_DATA!$A:$A,INDEX(PARAMS!$D$2:$D$5,MATCH($I$3,PARAMS!$C$2:$C$5,0))),0),IFERROR(SUMIFS(BASE_DATA!$AK:$AK,BASE_DATA!$G:$G,$Q$37,BASE_DATA!$A:$A,INDEX(PARAMS!$D$2:$D$5,MATCH($I$3,PARAMS!$C$2:$C$5,0)))/SUMIFS(BASE_DATA!$R:$R,BASE_DATA!$G:$G,$Q$37,BASE_DATA!$A:$A,INDEX(PARAMS!$D$2:$D$5,MATCH($I$3,PARAMS!$C$2:$C$5,0)))*40,0)))</f>
        <v>4</v>
      </c>
      <c r="AC37" s="58" t="n">
        <f aca="false">SUMIFS(BASE_DATA!$R:$R,BASE_DATA!$G:$G,$Q$37,BASE_DATA!$A:$A,INDEX(PARAMS!$D$2:$D$5,MATCH($I$3,PARAMS!$C$2:$C$5,0)))</f>
        <v>18.9167</v>
      </c>
      <c r="AD37" s="59" t="n">
        <f aca="false">COUNTIFS(BASE_DATA!$G:$G,$Q$37,BASE_DATA!$A:$A,INDEX(PARAMS!$D$2:$D$5,MATCH($I$3,PARAMS!$C$2:$C$5,0)))</f>
        <v>1</v>
      </c>
    </row>
    <row r="38" customFormat="false" ht="15" hidden="false" customHeight="false" outlineLevel="0" collapsed="false">
      <c r="I38" s="73"/>
      <c r="J38" s="73"/>
      <c r="Q38" s="56" t="s">
        <v>121</v>
      </c>
      <c r="R38" s="57" t="n">
        <f aca="false">IF($K$3="Stats brutes",SUMIFS(BASE_DATA!$T:$T,BASE_DATA!$G:$G,$Q$38,BASE_DATA!$A:$A,INDEX(PARAMS!$D$2:$D$5,MATCH($I$3,PARAMS!$C$2:$C$5,0))),IF($K$3="Par minute jouée",IFERROR(SUMIFS(BASE_DATA!$T:$T,BASE_DATA!$G:$G,$Q$38,BASE_DATA!$A:$A,INDEX(PARAMS!$D$2:$D$5,MATCH($I$3,PARAMS!$C$2:$C$5,0)))/SUMIFS(BASE_DATA!$R:$R,BASE_DATA!$G:$G,$Q$38,BASE_DATA!$A:$A,INDEX(PARAMS!$D$2:$D$5,MATCH($I$3,PARAMS!$C$2:$C$5,0))),0),IFERROR(SUMIFS(BASE_DATA!$T:$T,BASE_DATA!$G:$G,$Q$38,BASE_DATA!$A:$A,INDEX(PARAMS!$D$2:$D$5,MATCH($I$3,PARAMS!$C$2:$C$5,0)))/SUMIFS(BASE_DATA!$R:$R,BASE_DATA!$G:$G,$Q$38,BASE_DATA!$A:$A,INDEX(PARAMS!$D$2:$D$5,MATCH($I$3,PARAMS!$C$2:$C$5,0)))*40,0)))</f>
        <v>0</v>
      </c>
      <c r="S38" s="57" t="n">
        <f aca="false">IF($K$3="Stats brutes",SUMIFS(BASE_DATA!$U:$U,BASE_DATA!$G:$G,$Q$38,BASE_DATA!$A:$A,INDEX(PARAMS!$D$2:$D$5,MATCH($I$3,PARAMS!$C$2:$C$5,0))),IF($K$3="Par minute jouée",IFERROR(SUMIFS(BASE_DATA!$U:$U,BASE_DATA!$G:$G,$Q$38,BASE_DATA!$A:$A,INDEX(PARAMS!$D$2:$D$5,MATCH($I$3,PARAMS!$C$2:$C$5,0)))/SUMIFS(BASE_DATA!$R:$R,BASE_DATA!$G:$G,$Q$38,BASE_DATA!$A:$A,INDEX(PARAMS!$D$2:$D$5,MATCH($I$3,PARAMS!$C$2:$C$5,0))),0),IFERROR(SUMIFS(BASE_DATA!$U:$U,BASE_DATA!$G:$G,$Q$38,BASE_DATA!$A:$A,INDEX(PARAMS!$D$2:$D$5,MATCH($I$3,PARAMS!$C$2:$C$5,0)))/SUMIFS(BASE_DATA!$R:$R,BASE_DATA!$G:$G,$Q$38,BASE_DATA!$A:$A,INDEX(PARAMS!$D$2:$D$5,MATCH($I$3,PARAMS!$C$2:$C$5,0)))*40,0)))</f>
        <v>0</v>
      </c>
      <c r="T38" s="57" t="n">
        <f aca="false">IF($K$3="Stats brutes",SUMIFS(BASE_DATA!$V:$V,BASE_DATA!$G:$G,$Q$38,BASE_DATA!$A:$A,INDEX(PARAMS!$D$2:$D$5,MATCH($I$3,PARAMS!$C$2:$C$5,0))),IF($K$3="Par minute jouée",IFERROR(SUMIFS(BASE_DATA!$V:$V,BASE_DATA!$G:$G,$Q$38,BASE_DATA!$A:$A,INDEX(PARAMS!$D$2:$D$5,MATCH($I$3,PARAMS!$C$2:$C$5,0)))/SUMIFS(BASE_DATA!$R:$R,BASE_DATA!$G:$G,$Q$38,BASE_DATA!$A:$A,INDEX(PARAMS!$D$2:$D$5,MATCH($I$3,PARAMS!$C$2:$C$5,0))),0),IFERROR(SUMIFS(BASE_DATA!$V:$V,BASE_DATA!$G:$G,$Q$38,BASE_DATA!$A:$A,INDEX(PARAMS!$D$2:$D$5,MATCH($I$3,PARAMS!$C$2:$C$5,0)))/SUMIFS(BASE_DATA!$R:$R,BASE_DATA!$G:$G,$Q$38,BASE_DATA!$A:$A,INDEX(PARAMS!$D$2:$D$5,MATCH($I$3,PARAMS!$C$2:$C$5,0)))*40,0)))</f>
        <v>2</v>
      </c>
      <c r="U38" s="57" t="n">
        <f aca="false">IF($K$3="Stats brutes",SUMIFS(BASE_DATA!$W:$W,BASE_DATA!$G:$G,$Q$38,BASE_DATA!$A:$A,INDEX(PARAMS!$D$2:$D$5,MATCH($I$3,PARAMS!$C$2:$C$5,0))),IF($K$3="Par minute jouée",IFERROR(SUMIFS(BASE_DATA!$W:$W,BASE_DATA!$G:$G,$Q$38,BASE_DATA!$A:$A,INDEX(PARAMS!$D$2:$D$5,MATCH($I$3,PARAMS!$C$2:$C$5,0)))/SUMIFS(BASE_DATA!$R:$R,BASE_DATA!$G:$G,$Q$38,BASE_DATA!$A:$A,INDEX(PARAMS!$D$2:$D$5,MATCH($I$3,PARAMS!$C$2:$C$5,0))),0),IFERROR(SUMIFS(BASE_DATA!$W:$W,BASE_DATA!$G:$G,$Q$38,BASE_DATA!$A:$A,INDEX(PARAMS!$D$2:$D$5,MATCH($I$3,PARAMS!$C$2:$C$5,0)))/SUMIFS(BASE_DATA!$R:$R,BASE_DATA!$G:$G,$Q$38,BASE_DATA!$A:$A,INDEX(PARAMS!$D$2:$D$5,MATCH($I$3,PARAMS!$C$2:$C$5,0)))*40,0)))</f>
        <v>1</v>
      </c>
      <c r="V38" s="57" t="n">
        <f aca="false">IF($K$3="Stats brutes",SUMIFS(BASE_DATA!$AN:$AN,BASE_DATA!$G:$G,$Q$38,BASE_DATA!$A:$A,INDEX(PARAMS!$D$2:$D$5,MATCH($I$3,PARAMS!$C$2:$C$5,0))),IF($K$3="Par minute jouée",IFERROR(SUMIFS(BASE_DATA!$AN:$AN,BASE_DATA!$G:$G,$Q$38,BASE_DATA!$A:$A,INDEX(PARAMS!$D$2:$D$5,MATCH($I$3,PARAMS!$C$2:$C$5,0)))/SUMIFS(BASE_DATA!$R:$R,BASE_DATA!$G:$G,$Q$38,BASE_DATA!$A:$A,INDEX(PARAMS!$D$2:$D$5,MATCH($I$3,PARAMS!$C$2:$C$5,0))),0),IFERROR(SUMIFS(BASE_DATA!$AN:$AN,BASE_DATA!$G:$G,$Q$38,BASE_DATA!$A:$A,INDEX(PARAMS!$D$2:$D$5,MATCH($I$3,PARAMS!$C$2:$C$5,0)))/SUMIFS(BASE_DATA!$R:$R,BASE_DATA!$G:$G,$Q$38,BASE_DATA!$A:$A,INDEX(PARAMS!$D$2:$D$5,MATCH($I$3,PARAMS!$C$2:$C$5,0)))*40,0)))</f>
        <v>0</v>
      </c>
      <c r="W38" s="57" t="n">
        <f aca="false">IF($K$3="Stats brutes",SUMIFS(BASE_DATA!$AO:$AO,BASE_DATA!$G:$G,$Q$38,BASE_DATA!$A:$A,INDEX(PARAMS!$D$2:$D$5,MATCH($I$3,PARAMS!$C$2:$C$5,0))),IF($K$3="Par minute jouée",IFERROR(SUMIFS(BASE_DATA!$AO:$AO,BASE_DATA!$G:$G,$Q$38,BASE_DATA!$A:$A,INDEX(PARAMS!$D$2:$D$5,MATCH($I$3,PARAMS!$C$2:$C$5,0)))/SUMIFS(BASE_DATA!$R:$R,BASE_DATA!$G:$G,$Q$38,BASE_DATA!$A:$A,INDEX(PARAMS!$D$2:$D$5,MATCH($I$3,PARAMS!$C$2:$C$5,0))),0),IFERROR(SUMIFS(BASE_DATA!$AO:$AO,BASE_DATA!$G:$G,$Q$38,BASE_DATA!$A:$A,INDEX(PARAMS!$D$2:$D$5,MATCH($I$3,PARAMS!$C$2:$C$5,0)))/SUMIFS(BASE_DATA!$R:$R,BASE_DATA!$G:$G,$Q$38,BASE_DATA!$A:$A,INDEX(PARAMS!$D$2:$D$5,MATCH($I$3,PARAMS!$C$2:$C$5,0)))*40,0)))</f>
        <v>0</v>
      </c>
      <c r="X38" s="57" t="n">
        <f aca="false">IF($K$3="Stats brutes",SUMIFS(BASE_DATA!$AA:$AA,BASE_DATA!$G:$G,$Q$38,BASE_DATA!$A:$A,INDEX(PARAMS!$D$2:$D$5,MATCH($I$3,PARAMS!$C$2:$C$5,0))),IF($K$3="Par minute jouée",IFERROR(SUMIFS(BASE_DATA!$AA:$AA,BASE_DATA!$G:$G,$Q$38,BASE_DATA!$A:$A,INDEX(PARAMS!$D$2:$D$5,MATCH($I$3,PARAMS!$C$2:$C$5,0)))/SUMIFS(BASE_DATA!$R:$R,BASE_DATA!$G:$G,$Q$38,BASE_DATA!$A:$A,INDEX(PARAMS!$D$2:$D$5,MATCH($I$3,PARAMS!$C$2:$C$5,0))),0),IFERROR(SUMIFS(BASE_DATA!$AA:$AA,BASE_DATA!$G:$G,$Q$38,BASE_DATA!$A:$A,INDEX(PARAMS!$D$2:$D$5,MATCH($I$3,PARAMS!$C$2:$C$5,0)))/SUMIFS(BASE_DATA!$R:$R,BASE_DATA!$G:$G,$Q$38,BASE_DATA!$A:$A,INDEX(PARAMS!$D$2:$D$5,MATCH($I$3,PARAMS!$C$2:$C$5,0)))*40,0)))</f>
        <v>4</v>
      </c>
      <c r="Y38" s="57" t="n">
        <f aca="false">IF($K$3="Stats brutes",SUMIFS(BASE_DATA!$AH:$AH,BASE_DATA!$G:$G,$Q$38,BASE_DATA!$A:$A,INDEX(PARAMS!$D$2:$D$5,MATCH($I$3,PARAMS!$C$2:$C$5,0))),IF($K$3="Par minute jouée",IFERROR(SUMIFS(BASE_DATA!$AH:$AH,BASE_DATA!$G:$G,$Q$38,BASE_DATA!$A:$A,INDEX(PARAMS!$D$2:$D$5,MATCH($I$3,PARAMS!$C$2:$C$5,0)))/SUMIFS(BASE_DATA!$R:$R,BASE_DATA!$G:$G,$Q$38,BASE_DATA!$A:$A,INDEX(PARAMS!$D$2:$D$5,MATCH($I$3,PARAMS!$C$2:$C$5,0))),0),IFERROR(SUMIFS(BASE_DATA!$AH:$AH,BASE_DATA!$G:$G,$Q$38,BASE_DATA!$A:$A,INDEX(PARAMS!$D$2:$D$5,MATCH($I$3,PARAMS!$C$2:$C$5,0)))/SUMIFS(BASE_DATA!$R:$R,BASE_DATA!$G:$G,$Q$38,BASE_DATA!$A:$A,INDEX(PARAMS!$D$2:$D$5,MATCH($I$3,PARAMS!$C$2:$C$5,0)))*40,0)))</f>
        <v>0</v>
      </c>
      <c r="Z38" s="57" t="n">
        <f aca="false">IF($K$3="Stats brutes",SUMIFS(BASE_DATA!$AI:$AI,BASE_DATA!$G:$G,$Q$38,BASE_DATA!$A:$A,INDEX(PARAMS!$D$2:$D$5,MATCH($I$3,PARAMS!$C$2:$C$5,0))),IF($K$3="Par minute jouée",IFERROR(SUMIFS(BASE_DATA!$AI:$AI,BASE_DATA!$G:$G,$Q$38,BASE_DATA!$A:$A,INDEX(PARAMS!$D$2:$D$5,MATCH($I$3,PARAMS!$C$2:$C$5,0)))/SUMIFS(BASE_DATA!$R:$R,BASE_DATA!$G:$G,$Q$38,BASE_DATA!$A:$A,INDEX(PARAMS!$D$2:$D$5,MATCH($I$3,PARAMS!$C$2:$C$5,0))),0),IFERROR(SUMIFS(BASE_DATA!$AI:$AI,BASE_DATA!$G:$G,$Q$38,BASE_DATA!$A:$A,INDEX(PARAMS!$D$2:$D$5,MATCH($I$3,PARAMS!$C$2:$C$5,0)))/SUMIFS(BASE_DATA!$R:$R,BASE_DATA!$G:$G,$Q$38,BASE_DATA!$A:$A,INDEX(PARAMS!$D$2:$D$5,MATCH($I$3,PARAMS!$C$2:$C$5,0)))*40,0)))</f>
        <v>1</v>
      </c>
      <c r="AA38" s="57" t="n">
        <f aca="false">IF($K$3="Stats brutes",SUMIFS(BASE_DATA!$AJ:$AJ,BASE_DATA!$G:$G,$Q$38,BASE_DATA!$A:$A,INDEX(PARAMS!$D$2:$D$5,MATCH($I$3,PARAMS!$C$2:$C$5,0))),IF($K$3="Par minute jouée",IFERROR(SUMIFS(BASE_DATA!$AJ:$AJ,BASE_DATA!$G:$G,$Q$38,BASE_DATA!$A:$A,INDEX(PARAMS!$D$2:$D$5,MATCH($I$3,PARAMS!$C$2:$C$5,0)))/SUMIFS(BASE_DATA!$R:$R,BASE_DATA!$G:$G,$Q$38,BASE_DATA!$A:$A,INDEX(PARAMS!$D$2:$D$5,MATCH($I$3,PARAMS!$C$2:$C$5,0))),0),IFERROR(SUMIFS(BASE_DATA!$AJ:$AJ,BASE_DATA!$G:$G,$Q$38,BASE_DATA!$A:$A,INDEX(PARAMS!$D$2:$D$5,MATCH($I$3,PARAMS!$C$2:$C$5,0)))/SUMIFS(BASE_DATA!$R:$R,BASE_DATA!$G:$G,$Q$38,BASE_DATA!$A:$A,INDEX(PARAMS!$D$2:$D$5,MATCH($I$3,PARAMS!$C$2:$C$5,0)))*40,0)))</f>
        <v>3</v>
      </c>
      <c r="AB38" s="57" t="n">
        <f aca="false">IF($K$3="Stats brutes",SUMIFS(BASE_DATA!$AK:$AK,BASE_DATA!$G:$G,$Q$38,BASE_DATA!$A:$A,INDEX(PARAMS!$D$2:$D$5,MATCH($I$3,PARAMS!$C$2:$C$5,0))),IF($K$3="Par minute jouée",IFERROR(SUMIFS(BASE_DATA!$AK:$AK,BASE_DATA!$G:$G,$Q$38,BASE_DATA!$A:$A,INDEX(PARAMS!$D$2:$D$5,MATCH($I$3,PARAMS!$C$2:$C$5,0)))/SUMIFS(BASE_DATA!$R:$R,BASE_DATA!$G:$G,$Q$38,BASE_DATA!$A:$A,INDEX(PARAMS!$D$2:$D$5,MATCH($I$3,PARAMS!$C$2:$C$5,0))),0),IFERROR(SUMIFS(BASE_DATA!$AK:$AK,BASE_DATA!$G:$G,$Q$38,BASE_DATA!$A:$A,INDEX(PARAMS!$D$2:$D$5,MATCH($I$3,PARAMS!$C$2:$C$5,0)))/SUMIFS(BASE_DATA!$R:$R,BASE_DATA!$G:$G,$Q$38,BASE_DATA!$A:$A,INDEX(PARAMS!$D$2:$D$5,MATCH($I$3,PARAMS!$C$2:$C$5,0)))*40,0)))</f>
        <v>4</v>
      </c>
      <c r="AC38" s="58" t="n">
        <f aca="false">SUMIFS(BASE_DATA!$R:$R,BASE_DATA!$G:$G,$Q$38,BASE_DATA!$A:$A,INDEX(PARAMS!$D$2:$D$5,MATCH($I$3,PARAMS!$C$2:$C$5,0)))</f>
        <v>13.75</v>
      </c>
      <c r="AD38" s="59" t="n">
        <f aca="false">COUNTIFS(BASE_DATA!$G:$G,$Q$38,BASE_DATA!$A:$A,INDEX(PARAMS!$D$2:$D$5,MATCH($I$3,PARAMS!$C$2:$C$5,0)))</f>
        <v>1</v>
      </c>
    </row>
    <row r="39" customFormat="false" ht="15" hidden="false" customHeight="false" outlineLevel="0" collapsed="false">
      <c r="I39" s="73"/>
      <c r="J39" s="73"/>
      <c r="Q39" s="56" t="s">
        <v>115</v>
      </c>
      <c r="R39" s="57" t="n">
        <f aca="false">IF($K$3="Stats brutes",SUMIFS(BASE_DATA!$T:$T,BASE_DATA!$G:$G,$Q$39,BASE_DATA!$A:$A,INDEX(PARAMS!$D$2:$D$5,MATCH($I$3,PARAMS!$C$2:$C$5,0))),IF($K$3="Par minute jouée",IFERROR(SUMIFS(BASE_DATA!$T:$T,BASE_DATA!$G:$G,$Q$39,BASE_DATA!$A:$A,INDEX(PARAMS!$D$2:$D$5,MATCH($I$3,PARAMS!$C$2:$C$5,0)))/SUMIFS(BASE_DATA!$R:$R,BASE_DATA!$G:$G,$Q$39,BASE_DATA!$A:$A,INDEX(PARAMS!$D$2:$D$5,MATCH($I$3,PARAMS!$C$2:$C$5,0))),0),IFERROR(SUMIFS(BASE_DATA!$T:$T,BASE_DATA!$G:$G,$Q$39,BASE_DATA!$A:$A,INDEX(PARAMS!$D$2:$D$5,MATCH($I$3,PARAMS!$C$2:$C$5,0)))/SUMIFS(BASE_DATA!$R:$R,BASE_DATA!$G:$G,$Q$39,BASE_DATA!$A:$A,INDEX(PARAMS!$D$2:$D$5,MATCH($I$3,PARAMS!$C$2:$C$5,0)))*40,0)))</f>
        <v>0</v>
      </c>
      <c r="S39" s="57" t="n">
        <f aca="false">IF($K$3="Stats brutes",SUMIFS(BASE_DATA!$U:$U,BASE_DATA!$G:$G,$Q$39,BASE_DATA!$A:$A,INDEX(PARAMS!$D$2:$D$5,MATCH($I$3,PARAMS!$C$2:$C$5,0))),IF($K$3="Par minute jouée",IFERROR(SUMIFS(BASE_DATA!$U:$U,BASE_DATA!$G:$G,$Q$39,BASE_DATA!$A:$A,INDEX(PARAMS!$D$2:$D$5,MATCH($I$3,PARAMS!$C$2:$C$5,0)))/SUMIFS(BASE_DATA!$R:$R,BASE_DATA!$G:$G,$Q$39,BASE_DATA!$A:$A,INDEX(PARAMS!$D$2:$D$5,MATCH($I$3,PARAMS!$C$2:$C$5,0))),0),IFERROR(SUMIFS(BASE_DATA!$U:$U,BASE_DATA!$G:$G,$Q$39,BASE_DATA!$A:$A,INDEX(PARAMS!$D$2:$D$5,MATCH($I$3,PARAMS!$C$2:$C$5,0)))/SUMIFS(BASE_DATA!$R:$R,BASE_DATA!$G:$G,$Q$39,BASE_DATA!$A:$A,INDEX(PARAMS!$D$2:$D$5,MATCH($I$3,PARAMS!$C$2:$C$5,0)))*40,0)))</f>
        <v>0</v>
      </c>
      <c r="T39" s="57" t="n">
        <f aca="false">IF($K$3="Stats brutes",SUMIFS(BASE_DATA!$V:$V,BASE_DATA!$G:$G,$Q$39,BASE_DATA!$A:$A,INDEX(PARAMS!$D$2:$D$5,MATCH($I$3,PARAMS!$C$2:$C$5,0))),IF($K$3="Par minute jouée",IFERROR(SUMIFS(BASE_DATA!$V:$V,BASE_DATA!$G:$G,$Q$39,BASE_DATA!$A:$A,INDEX(PARAMS!$D$2:$D$5,MATCH($I$3,PARAMS!$C$2:$C$5,0)))/SUMIFS(BASE_DATA!$R:$R,BASE_DATA!$G:$G,$Q$39,BASE_DATA!$A:$A,INDEX(PARAMS!$D$2:$D$5,MATCH($I$3,PARAMS!$C$2:$C$5,0))),0),IFERROR(SUMIFS(BASE_DATA!$V:$V,BASE_DATA!$G:$G,$Q$39,BASE_DATA!$A:$A,INDEX(PARAMS!$D$2:$D$5,MATCH($I$3,PARAMS!$C$2:$C$5,0)))/SUMIFS(BASE_DATA!$R:$R,BASE_DATA!$G:$G,$Q$39,BASE_DATA!$A:$A,INDEX(PARAMS!$D$2:$D$5,MATCH($I$3,PARAMS!$C$2:$C$5,0)))*40,0)))</f>
        <v>3</v>
      </c>
      <c r="U39" s="57" t="n">
        <f aca="false">IF($K$3="Stats brutes",SUMIFS(BASE_DATA!$W:$W,BASE_DATA!$G:$G,$Q$39,BASE_DATA!$A:$A,INDEX(PARAMS!$D$2:$D$5,MATCH($I$3,PARAMS!$C$2:$C$5,0))),IF($K$3="Par minute jouée",IFERROR(SUMIFS(BASE_DATA!$W:$W,BASE_DATA!$G:$G,$Q$39,BASE_DATA!$A:$A,INDEX(PARAMS!$D$2:$D$5,MATCH($I$3,PARAMS!$C$2:$C$5,0)))/SUMIFS(BASE_DATA!$R:$R,BASE_DATA!$G:$G,$Q$39,BASE_DATA!$A:$A,INDEX(PARAMS!$D$2:$D$5,MATCH($I$3,PARAMS!$C$2:$C$5,0))),0),IFERROR(SUMIFS(BASE_DATA!$W:$W,BASE_DATA!$G:$G,$Q$39,BASE_DATA!$A:$A,INDEX(PARAMS!$D$2:$D$5,MATCH($I$3,PARAMS!$C$2:$C$5,0)))/SUMIFS(BASE_DATA!$R:$R,BASE_DATA!$G:$G,$Q$39,BASE_DATA!$A:$A,INDEX(PARAMS!$D$2:$D$5,MATCH($I$3,PARAMS!$C$2:$C$5,0)))*40,0)))</f>
        <v>1</v>
      </c>
      <c r="V39" s="57" t="n">
        <f aca="false">IF($K$3="Stats brutes",SUMIFS(BASE_DATA!$AN:$AN,BASE_DATA!$G:$G,$Q$39,BASE_DATA!$A:$A,INDEX(PARAMS!$D$2:$D$5,MATCH($I$3,PARAMS!$C$2:$C$5,0))),IF($K$3="Par minute jouée",IFERROR(SUMIFS(BASE_DATA!$AN:$AN,BASE_DATA!$G:$G,$Q$39,BASE_DATA!$A:$A,INDEX(PARAMS!$D$2:$D$5,MATCH($I$3,PARAMS!$C$2:$C$5,0)))/SUMIFS(BASE_DATA!$R:$R,BASE_DATA!$G:$G,$Q$39,BASE_DATA!$A:$A,INDEX(PARAMS!$D$2:$D$5,MATCH($I$3,PARAMS!$C$2:$C$5,0))),0),IFERROR(SUMIFS(BASE_DATA!$AN:$AN,BASE_DATA!$G:$G,$Q$39,BASE_DATA!$A:$A,INDEX(PARAMS!$D$2:$D$5,MATCH($I$3,PARAMS!$C$2:$C$5,0)))/SUMIFS(BASE_DATA!$R:$R,BASE_DATA!$G:$G,$Q$39,BASE_DATA!$A:$A,INDEX(PARAMS!$D$2:$D$5,MATCH($I$3,PARAMS!$C$2:$C$5,0)))*40,0)))</f>
        <v>1</v>
      </c>
      <c r="W39" s="57" t="n">
        <f aca="false">IF($K$3="Stats brutes",SUMIFS(BASE_DATA!$AO:$AO,BASE_DATA!$G:$G,$Q$39,BASE_DATA!$A:$A,INDEX(PARAMS!$D$2:$D$5,MATCH($I$3,PARAMS!$C$2:$C$5,0))),IF($K$3="Par minute jouée",IFERROR(SUMIFS(BASE_DATA!$AO:$AO,BASE_DATA!$G:$G,$Q$39,BASE_DATA!$A:$A,INDEX(PARAMS!$D$2:$D$5,MATCH($I$3,PARAMS!$C$2:$C$5,0)))/SUMIFS(BASE_DATA!$R:$R,BASE_DATA!$G:$G,$Q$39,BASE_DATA!$A:$A,INDEX(PARAMS!$D$2:$D$5,MATCH($I$3,PARAMS!$C$2:$C$5,0))),0),IFERROR(SUMIFS(BASE_DATA!$AO:$AO,BASE_DATA!$G:$G,$Q$39,BASE_DATA!$A:$A,INDEX(PARAMS!$D$2:$D$5,MATCH($I$3,PARAMS!$C$2:$C$5,0)))/SUMIFS(BASE_DATA!$R:$R,BASE_DATA!$G:$G,$Q$39,BASE_DATA!$A:$A,INDEX(PARAMS!$D$2:$D$5,MATCH($I$3,PARAMS!$C$2:$C$5,0)))*40,0)))</f>
        <v>3</v>
      </c>
      <c r="X39" s="57" t="n">
        <f aca="false">IF($K$3="Stats brutes",SUMIFS(BASE_DATA!$AA:$AA,BASE_DATA!$G:$G,$Q$39,BASE_DATA!$A:$A,INDEX(PARAMS!$D$2:$D$5,MATCH($I$3,PARAMS!$C$2:$C$5,0))),IF($K$3="Par minute jouée",IFERROR(SUMIFS(BASE_DATA!$AA:$AA,BASE_DATA!$G:$G,$Q$39,BASE_DATA!$A:$A,INDEX(PARAMS!$D$2:$D$5,MATCH($I$3,PARAMS!$C$2:$C$5,0)))/SUMIFS(BASE_DATA!$R:$R,BASE_DATA!$G:$G,$Q$39,BASE_DATA!$A:$A,INDEX(PARAMS!$D$2:$D$5,MATCH($I$3,PARAMS!$C$2:$C$5,0))),0),IFERROR(SUMIFS(BASE_DATA!$AA:$AA,BASE_DATA!$G:$G,$Q$39,BASE_DATA!$A:$A,INDEX(PARAMS!$D$2:$D$5,MATCH($I$3,PARAMS!$C$2:$C$5,0)))/SUMIFS(BASE_DATA!$R:$R,BASE_DATA!$G:$G,$Q$39,BASE_DATA!$A:$A,INDEX(PARAMS!$D$2:$D$5,MATCH($I$3,PARAMS!$C$2:$C$5,0)))*40,0)))</f>
        <v>4</v>
      </c>
      <c r="Y39" s="57" t="n">
        <f aca="false">IF($K$3="Stats brutes",SUMIFS(BASE_DATA!$AH:$AH,BASE_DATA!$G:$G,$Q$39,BASE_DATA!$A:$A,INDEX(PARAMS!$D$2:$D$5,MATCH($I$3,PARAMS!$C$2:$C$5,0))),IF($K$3="Par minute jouée",IFERROR(SUMIFS(BASE_DATA!$AH:$AH,BASE_DATA!$G:$G,$Q$39,BASE_DATA!$A:$A,INDEX(PARAMS!$D$2:$D$5,MATCH($I$3,PARAMS!$C$2:$C$5,0)))/SUMIFS(BASE_DATA!$R:$R,BASE_DATA!$G:$G,$Q$39,BASE_DATA!$A:$A,INDEX(PARAMS!$D$2:$D$5,MATCH($I$3,PARAMS!$C$2:$C$5,0))),0),IFERROR(SUMIFS(BASE_DATA!$AH:$AH,BASE_DATA!$G:$G,$Q$39,BASE_DATA!$A:$A,INDEX(PARAMS!$D$2:$D$5,MATCH($I$3,PARAMS!$C$2:$C$5,0)))/SUMIFS(BASE_DATA!$R:$R,BASE_DATA!$G:$G,$Q$39,BASE_DATA!$A:$A,INDEX(PARAMS!$D$2:$D$5,MATCH($I$3,PARAMS!$C$2:$C$5,0)))*40,0)))</f>
        <v>0</v>
      </c>
      <c r="Z39" s="57" t="n">
        <f aca="false">IF($K$3="Stats brutes",SUMIFS(BASE_DATA!$AI:$AI,BASE_DATA!$G:$G,$Q$39,BASE_DATA!$A:$A,INDEX(PARAMS!$D$2:$D$5,MATCH($I$3,PARAMS!$C$2:$C$5,0))),IF($K$3="Par minute jouée",IFERROR(SUMIFS(BASE_DATA!$AI:$AI,BASE_DATA!$G:$G,$Q$39,BASE_DATA!$A:$A,INDEX(PARAMS!$D$2:$D$5,MATCH($I$3,PARAMS!$C$2:$C$5,0)))/SUMIFS(BASE_DATA!$R:$R,BASE_DATA!$G:$G,$Q$39,BASE_DATA!$A:$A,INDEX(PARAMS!$D$2:$D$5,MATCH($I$3,PARAMS!$C$2:$C$5,0))),0),IFERROR(SUMIFS(BASE_DATA!$AI:$AI,BASE_DATA!$G:$G,$Q$39,BASE_DATA!$A:$A,INDEX(PARAMS!$D$2:$D$5,MATCH($I$3,PARAMS!$C$2:$C$5,0)))/SUMIFS(BASE_DATA!$R:$R,BASE_DATA!$G:$G,$Q$39,BASE_DATA!$A:$A,INDEX(PARAMS!$D$2:$D$5,MATCH($I$3,PARAMS!$C$2:$C$5,0)))*40,0)))</f>
        <v>0</v>
      </c>
      <c r="AA39" s="57" t="n">
        <f aca="false">IF($K$3="Stats brutes",SUMIFS(BASE_DATA!$AJ:$AJ,BASE_DATA!$G:$G,$Q$39,BASE_DATA!$A:$A,INDEX(PARAMS!$D$2:$D$5,MATCH($I$3,PARAMS!$C$2:$C$5,0))),IF($K$3="Par minute jouée",IFERROR(SUMIFS(BASE_DATA!$AJ:$AJ,BASE_DATA!$G:$G,$Q$39,BASE_DATA!$A:$A,INDEX(PARAMS!$D$2:$D$5,MATCH($I$3,PARAMS!$C$2:$C$5,0)))/SUMIFS(BASE_DATA!$R:$R,BASE_DATA!$G:$G,$Q$39,BASE_DATA!$A:$A,INDEX(PARAMS!$D$2:$D$5,MATCH($I$3,PARAMS!$C$2:$C$5,0))),0),IFERROR(SUMIFS(BASE_DATA!$AJ:$AJ,BASE_DATA!$G:$G,$Q$39,BASE_DATA!$A:$A,INDEX(PARAMS!$D$2:$D$5,MATCH($I$3,PARAMS!$C$2:$C$5,0)))/SUMIFS(BASE_DATA!$R:$R,BASE_DATA!$G:$G,$Q$39,BASE_DATA!$A:$A,INDEX(PARAMS!$D$2:$D$5,MATCH($I$3,PARAMS!$C$2:$C$5,0)))*40,0)))</f>
        <v>2</v>
      </c>
      <c r="AB39" s="57" t="n">
        <f aca="false">IF($K$3="Stats brutes",SUMIFS(BASE_DATA!$AK:$AK,BASE_DATA!$G:$G,$Q$39,BASE_DATA!$A:$A,INDEX(PARAMS!$D$2:$D$5,MATCH($I$3,PARAMS!$C$2:$C$5,0))),IF($K$3="Par minute jouée",IFERROR(SUMIFS(BASE_DATA!$AK:$AK,BASE_DATA!$G:$G,$Q$39,BASE_DATA!$A:$A,INDEX(PARAMS!$D$2:$D$5,MATCH($I$3,PARAMS!$C$2:$C$5,0)))/SUMIFS(BASE_DATA!$R:$R,BASE_DATA!$G:$G,$Q$39,BASE_DATA!$A:$A,INDEX(PARAMS!$D$2:$D$5,MATCH($I$3,PARAMS!$C$2:$C$5,0))),0),IFERROR(SUMIFS(BASE_DATA!$AK:$AK,BASE_DATA!$G:$G,$Q$39,BASE_DATA!$A:$A,INDEX(PARAMS!$D$2:$D$5,MATCH($I$3,PARAMS!$C$2:$C$5,0)))/SUMIFS(BASE_DATA!$R:$R,BASE_DATA!$G:$G,$Q$39,BASE_DATA!$A:$A,INDEX(PARAMS!$D$2:$D$5,MATCH($I$3,PARAMS!$C$2:$C$5,0)))*40,0)))</f>
        <v>2</v>
      </c>
      <c r="AC39" s="58" t="n">
        <f aca="false">SUMIFS(BASE_DATA!$R:$R,BASE_DATA!$G:$G,$Q$39,BASE_DATA!$A:$A,INDEX(PARAMS!$D$2:$D$5,MATCH($I$3,PARAMS!$C$2:$C$5,0)))</f>
        <v>12.3333</v>
      </c>
      <c r="AD39" s="59" t="n">
        <f aca="false">COUNTIFS(BASE_DATA!$G:$G,$Q$39,BASE_DATA!$A:$A,INDEX(PARAMS!$D$2:$D$5,MATCH($I$3,PARAMS!$C$2:$C$5,0)))</f>
        <v>1</v>
      </c>
    </row>
    <row r="40" customFormat="false" ht="15" hidden="false" customHeight="false" outlineLevel="0" collapsed="false">
      <c r="I40" s="73"/>
      <c r="J40" s="73"/>
      <c r="Q40" s="56" t="s">
        <v>122</v>
      </c>
      <c r="R40" s="57" t="n">
        <f aca="false">IF($K$3="Stats brutes",SUMIFS(BASE_DATA!$T:$T,BASE_DATA!$G:$G,$Q$40,BASE_DATA!$A:$A,INDEX(PARAMS!$D$2:$D$5,MATCH($I$3,PARAMS!$C$2:$C$5,0))),IF($K$3="Par minute jouée",IFERROR(SUMIFS(BASE_DATA!$T:$T,BASE_DATA!$G:$G,$Q$40,BASE_DATA!$A:$A,INDEX(PARAMS!$D$2:$D$5,MATCH($I$3,PARAMS!$C$2:$C$5,0)))/SUMIFS(BASE_DATA!$R:$R,BASE_DATA!$G:$G,$Q$40,BASE_DATA!$A:$A,INDEX(PARAMS!$D$2:$D$5,MATCH($I$3,PARAMS!$C$2:$C$5,0))),0),IFERROR(SUMIFS(BASE_DATA!$T:$T,BASE_DATA!$G:$G,$Q$40,BASE_DATA!$A:$A,INDEX(PARAMS!$D$2:$D$5,MATCH($I$3,PARAMS!$C$2:$C$5,0)))/SUMIFS(BASE_DATA!$R:$R,BASE_DATA!$G:$G,$Q$40,BASE_DATA!$A:$A,INDEX(PARAMS!$D$2:$D$5,MATCH($I$3,PARAMS!$C$2:$C$5,0)))*40,0)))</f>
        <v>0</v>
      </c>
      <c r="S40" s="57" t="n">
        <f aca="false">IF($K$3="Stats brutes",SUMIFS(BASE_DATA!$U:$U,BASE_DATA!$G:$G,$Q$40,BASE_DATA!$A:$A,INDEX(PARAMS!$D$2:$D$5,MATCH($I$3,PARAMS!$C$2:$C$5,0))),IF($K$3="Par minute jouée",IFERROR(SUMIFS(BASE_DATA!$U:$U,BASE_DATA!$G:$G,$Q$40,BASE_DATA!$A:$A,INDEX(PARAMS!$D$2:$D$5,MATCH($I$3,PARAMS!$C$2:$C$5,0)))/SUMIFS(BASE_DATA!$R:$R,BASE_DATA!$G:$G,$Q$40,BASE_DATA!$A:$A,INDEX(PARAMS!$D$2:$D$5,MATCH($I$3,PARAMS!$C$2:$C$5,0))),0),IFERROR(SUMIFS(BASE_DATA!$U:$U,BASE_DATA!$G:$G,$Q$40,BASE_DATA!$A:$A,INDEX(PARAMS!$D$2:$D$5,MATCH($I$3,PARAMS!$C$2:$C$5,0)))/SUMIFS(BASE_DATA!$R:$R,BASE_DATA!$G:$G,$Q$40,BASE_DATA!$A:$A,INDEX(PARAMS!$D$2:$D$5,MATCH($I$3,PARAMS!$C$2:$C$5,0)))*40,0)))</f>
        <v>0</v>
      </c>
      <c r="T40" s="57" t="n">
        <f aca="false">IF($K$3="Stats brutes",SUMIFS(BASE_DATA!$V:$V,BASE_DATA!$G:$G,$Q$40,BASE_DATA!$A:$A,INDEX(PARAMS!$D$2:$D$5,MATCH($I$3,PARAMS!$C$2:$C$5,0))),IF($K$3="Par minute jouée",IFERROR(SUMIFS(BASE_DATA!$V:$V,BASE_DATA!$G:$G,$Q$40,BASE_DATA!$A:$A,INDEX(PARAMS!$D$2:$D$5,MATCH($I$3,PARAMS!$C$2:$C$5,0)))/SUMIFS(BASE_DATA!$R:$R,BASE_DATA!$G:$G,$Q$40,BASE_DATA!$A:$A,INDEX(PARAMS!$D$2:$D$5,MATCH($I$3,PARAMS!$C$2:$C$5,0))),0),IFERROR(SUMIFS(BASE_DATA!$V:$V,BASE_DATA!$G:$G,$Q$40,BASE_DATA!$A:$A,INDEX(PARAMS!$D$2:$D$5,MATCH($I$3,PARAMS!$C$2:$C$5,0)))/SUMIFS(BASE_DATA!$R:$R,BASE_DATA!$G:$G,$Q$40,BASE_DATA!$A:$A,INDEX(PARAMS!$D$2:$D$5,MATCH($I$3,PARAMS!$C$2:$C$5,0)))*40,0)))</f>
        <v>1</v>
      </c>
      <c r="U40" s="57" t="n">
        <f aca="false">IF($K$3="Stats brutes",SUMIFS(BASE_DATA!$W:$W,BASE_DATA!$G:$G,$Q$40,BASE_DATA!$A:$A,INDEX(PARAMS!$D$2:$D$5,MATCH($I$3,PARAMS!$C$2:$C$5,0))),IF($K$3="Par minute jouée",IFERROR(SUMIFS(BASE_DATA!$W:$W,BASE_DATA!$G:$G,$Q$40,BASE_DATA!$A:$A,INDEX(PARAMS!$D$2:$D$5,MATCH($I$3,PARAMS!$C$2:$C$5,0)))/SUMIFS(BASE_DATA!$R:$R,BASE_DATA!$G:$G,$Q$40,BASE_DATA!$A:$A,INDEX(PARAMS!$D$2:$D$5,MATCH($I$3,PARAMS!$C$2:$C$5,0))),0),IFERROR(SUMIFS(BASE_DATA!$W:$W,BASE_DATA!$G:$G,$Q$40,BASE_DATA!$A:$A,INDEX(PARAMS!$D$2:$D$5,MATCH($I$3,PARAMS!$C$2:$C$5,0)))/SUMIFS(BASE_DATA!$R:$R,BASE_DATA!$G:$G,$Q$40,BASE_DATA!$A:$A,INDEX(PARAMS!$D$2:$D$5,MATCH($I$3,PARAMS!$C$2:$C$5,0)))*40,0)))</f>
        <v>1</v>
      </c>
      <c r="V40" s="57" t="n">
        <f aca="false">IF($K$3="Stats brutes",SUMIFS(BASE_DATA!$AN:$AN,BASE_DATA!$G:$G,$Q$40,BASE_DATA!$A:$A,INDEX(PARAMS!$D$2:$D$5,MATCH($I$3,PARAMS!$C$2:$C$5,0))),IF($K$3="Par minute jouée",IFERROR(SUMIFS(BASE_DATA!$AN:$AN,BASE_DATA!$G:$G,$Q$40,BASE_DATA!$A:$A,INDEX(PARAMS!$D$2:$D$5,MATCH($I$3,PARAMS!$C$2:$C$5,0)))/SUMIFS(BASE_DATA!$R:$R,BASE_DATA!$G:$G,$Q$40,BASE_DATA!$A:$A,INDEX(PARAMS!$D$2:$D$5,MATCH($I$3,PARAMS!$C$2:$C$5,0))),0),IFERROR(SUMIFS(BASE_DATA!$AN:$AN,BASE_DATA!$G:$G,$Q$40,BASE_DATA!$A:$A,INDEX(PARAMS!$D$2:$D$5,MATCH($I$3,PARAMS!$C$2:$C$5,0)))/SUMIFS(BASE_DATA!$R:$R,BASE_DATA!$G:$G,$Q$40,BASE_DATA!$A:$A,INDEX(PARAMS!$D$2:$D$5,MATCH($I$3,PARAMS!$C$2:$C$5,0)))*40,0)))</f>
        <v>1</v>
      </c>
      <c r="W40" s="57" t="n">
        <f aca="false">IF($K$3="Stats brutes",SUMIFS(BASE_DATA!$AO:$AO,BASE_DATA!$G:$G,$Q$40,BASE_DATA!$A:$A,INDEX(PARAMS!$D$2:$D$5,MATCH($I$3,PARAMS!$C$2:$C$5,0))),IF($K$3="Par minute jouée",IFERROR(SUMIFS(BASE_DATA!$AO:$AO,BASE_DATA!$G:$G,$Q$40,BASE_DATA!$A:$A,INDEX(PARAMS!$D$2:$D$5,MATCH($I$3,PARAMS!$C$2:$C$5,0)))/SUMIFS(BASE_DATA!$R:$R,BASE_DATA!$G:$G,$Q$40,BASE_DATA!$A:$A,INDEX(PARAMS!$D$2:$D$5,MATCH($I$3,PARAMS!$C$2:$C$5,0))),0),IFERROR(SUMIFS(BASE_DATA!$AO:$AO,BASE_DATA!$G:$G,$Q$40,BASE_DATA!$A:$A,INDEX(PARAMS!$D$2:$D$5,MATCH($I$3,PARAMS!$C$2:$C$5,0)))/SUMIFS(BASE_DATA!$R:$R,BASE_DATA!$G:$G,$Q$40,BASE_DATA!$A:$A,INDEX(PARAMS!$D$2:$D$5,MATCH($I$3,PARAMS!$C$2:$C$5,0)))*40,0)))</f>
        <v>2</v>
      </c>
      <c r="X40" s="57" t="n">
        <f aca="false">IF($K$3="Stats brutes",SUMIFS(BASE_DATA!$AA:$AA,BASE_DATA!$G:$G,$Q$40,BASE_DATA!$A:$A,INDEX(PARAMS!$D$2:$D$5,MATCH($I$3,PARAMS!$C$2:$C$5,0))),IF($K$3="Par minute jouée",IFERROR(SUMIFS(BASE_DATA!$AA:$AA,BASE_DATA!$G:$G,$Q$40,BASE_DATA!$A:$A,INDEX(PARAMS!$D$2:$D$5,MATCH($I$3,PARAMS!$C$2:$C$5,0)))/SUMIFS(BASE_DATA!$R:$R,BASE_DATA!$G:$G,$Q$40,BASE_DATA!$A:$A,INDEX(PARAMS!$D$2:$D$5,MATCH($I$3,PARAMS!$C$2:$C$5,0))),0),IFERROR(SUMIFS(BASE_DATA!$AA:$AA,BASE_DATA!$G:$G,$Q$40,BASE_DATA!$A:$A,INDEX(PARAMS!$D$2:$D$5,MATCH($I$3,PARAMS!$C$2:$C$5,0)))/SUMIFS(BASE_DATA!$R:$R,BASE_DATA!$G:$G,$Q$40,BASE_DATA!$A:$A,INDEX(PARAMS!$D$2:$D$5,MATCH($I$3,PARAMS!$C$2:$C$5,0)))*40,0)))</f>
        <v>4</v>
      </c>
      <c r="Y40" s="57" t="n">
        <f aca="false">IF($K$3="Stats brutes",SUMIFS(BASE_DATA!$AH:$AH,BASE_DATA!$G:$G,$Q$40,BASE_DATA!$A:$A,INDEX(PARAMS!$D$2:$D$5,MATCH($I$3,PARAMS!$C$2:$C$5,0))),IF($K$3="Par minute jouée",IFERROR(SUMIFS(BASE_DATA!$AH:$AH,BASE_DATA!$G:$G,$Q$40,BASE_DATA!$A:$A,INDEX(PARAMS!$D$2:$D$5,MATCH($I$3,PARAMS!$C$2:$C$5,0)))/SUMIFS(BASE_DATA!$R:$R,BASE_DATA!$G:$G,$Q$40,BASE_DATA!$A:$A,INDEX(PARAMS!$D$2:$D$5,MATCH($I$3,PARAMS!$C$2:$C$5,0))),0),IFERROR(SUMIFS(BASE_DATA!$AH:$AH,BASE_DATA!$G:$G,$Q$40,BASE_DATA!$A:$A,INDEX(PARAMS!$D$2:$D$5,MATCH($I$3,PARAMS!$C$2:$C$5,0)))/SUMIFS(BASE_DATA!$R:$R,BASE_DATA!$G:$G,$Q$40,BASE_DATA!$A:$A,INDEX(PARAMS!$D$2:$D$5,MATCH($I$3,PARAMS!$C$2:$C$5,0)))*40,0)))</f>
        <v>0</v>
      </c>
      <c r="Z40" s="57" t="n">
        <f aca="false">IF($K$3="Stats brutes",SUMIFS(BASE_DATA!$AI:$AI,BASE_DATA!$G:$G,$Q$40,BASE_DATA!$A:$A,INDEX(PARAMS!$D$2:$D$5,MATCH($I$3,PARAMS!$C$2:$C$5,0))),IF($K$3="Par minute jouée",IFERROR(SUMIFS(BASE_DATA!$AI:$AI,BASE_DATA!$G:$G,$Q$40,BASE_DATA!$A:$A,INDEX(PARAMS!$D$2:$D$5,MATCH($I$3,PARAMS!$C$2:$C$5,0)))/SUMIFS(BASE_DATA!$R:$R,BASE_DATA!$G:$G,$Q$40,BASE_DATA!$A:$A,INDEX(PARAMS!$D$2:$D$5,MATCH($I$3,PARAMS!$C$2:$C$5,0))),0),IFERROR(SUMIFS(BASE_DATA!$AI:$AI,BASE_DATA!$G:$G,$Q$40,BASE_DATA!$A:$A,INDEX(PARAMS!$D$2:$D$5,MATCH($I$3,PARAMS!$C$2:$C$5,0)))/SUMIFS(BASE_DATA!$R:$R,BASE_DATA!$G:$G,$Q$40,BASE_DATA!$A:$A,INDEX(PARAMS!$D$2:$D$5,MATCH($I$3,PARAMS!$C$2:$C$5,0)))*40,0)))</f>
        <v>1</v>
      </c>
      <c r="AA40" s="57" t="n">
        <f aca="false">IF($K$3="Stats brutes",SUMIFS(BASE_DATA!$AJ:$AJ,BASE_DATA!$G:$G,$Q$40,BASE_DATA!$A:$A,INDEX(PARAMS!$D$2:$D$5,MATCH($I$3,PARAMS!$C$2:$C$5,0))),IF($K$3="Par minute jouée",IFERROR(SUMIFS(BASE_DATA!$AJ:$AJ,BASE_DATA!$G:$G,$Q$40,BASE_DATA!$A:$A,INDEX(PARAMS!$D$2:$D$5,MATCH($I$3,PARAMS!$C$2:$C$5,0)))/SUMIFS(BASE_DATA!$R:$R,BASE_DATA!$G:$G,$Q$40,BASE_DATA!$A:$A,INDEX(PARAMS!$D$2:$D$5,MATCH($I$3,PARAMS!$C$2:$C$5,0))),0),IFERROR(SUMIFS(BASE_DATA!$AJ:$AJ,BASE_DATA!$G:$G,$Q$40,BASE_DATA!$A:$A,INDEX(PARAMS!$D$2:$D$5,MATCH($I$3,PARAMS!$C$2:$C$5,0)))/SUMIFS(BASE_DATA!$R:$R,BASE_DATA!$G:$G,$Q$40,BASE_DATA!$A:$A,INDEX(PARAMS!$D$2:$D$5,MATCH($I$3,PARAMS!$C$2:$C$5,0)))*40,0)))</f>
        <v>2</v>
      </c>
      <c r="AB40" s="57" t="n">
        <f aca="false">IF($K$3="Stats brutes",SUMIFS(BASE_DATA!$AK:$AK,BASE_DATA!$G:$G,$Q$40,BASE_DATA!$A:$A,INDEX(PARAMS!$D$2:$D$5,MATCH($I$3,PARAMS!$C$2:$C$5,0))),IF($K$3="Par minute jouée",IFERROR(SUMIFS(BASE_DATA!$AK:$AK,BASE_DATA!$G:$G,$Q$40,BASE_DATA!$A:$A,INDEX(PARAMS!$D$2:$D$5,MATCH($I$3,PARAMS!$C$2:$C$5,0)))/SUMIFS(BASE_DATA!$R:$R,BASE_DATA!$G:$G,$Q$40,BASE_DATA!$A:$A,INDEX(PARAMS!$D$2:$D$5,MATCH($I$3,PARAMS!$C$2:$C$5,0))),0),IFERROR(SUMIFS(BASE_DATA!$AK:$AK,BASE_DATA!$G:$G,$Q$40,BASE_DATA!$A:$A,INDEX(PARAMS!$D$2:$D$5,MATCH($I$3,PARAMS!$C$2:$C$5,0)))/SUMIFS(BASE_DATA!$R:$R,BASE_DATA!$G:$G,$Q$40,BASE_DATA!$A:$A,INDEX(PARAMS!$D$2:$D$5,MATCH($I$3,PARAMS!$C$2:$C$5,0)))*40,0)))</f>
        <v>2</v>
      </c>
      <c r="AC40" s="58" t="n">
        <f aca="false">SUMIFS(BASE_DATA!$R:$R,BASE_DATA!$G:$G,$Q$40,BASE_DATA!$A:$A,INDEX(PARAMS!$D$2:$D$5,MATCH($I$3,PARAMS!$C$2:$C$5,0)))</f>
        <v>11.2</v>
      </c>
      <c r="AD40" s="59" t="n">
        <f aca="false">COUNTIFS(BASE_DATA!$G:$G,$Q$40,BASE_DATA!$A:$A,INDEX(PARAMS!$D$2:$D$5,MATCH($I$3,PARAMS!$C$2:$C$5,0)))</f>
        <v>1</v>
      </c>
    </row>
    <row r="41" customFormat="false" ht="15" hidden="false" customHeight="false" outlineLevel="0" collapsed="false">
      <c r="I41" s="73"/>
      <c r="J41" s="73"/>
      <c r="Q41" s="56" t="s">
        <v>123</v>
      </c>
      <c r="R41" s="57" t="n">
        <f aca="false">IF($K$3="Stats brutes",SUMIFS(BASE_DATA!$T:$T,BASE_DATA!$G:$G,$Q$41,BASE_DATA!$A:$A,INDEX(PARAMS!$D$2:$D$5,MATCH($I$3,PARAMS!$C$2:$C$5,0))),IF($K$3="Par minute jouée",IFERROR(SUMIFS(BASE_DATA!$T:$T,BASE_DATA!$G:$G,$Q$41,BASE_DATA!$A:$A,INDEX(PARAMS!$D$2:$D$5,MATCH($I$3,PARAMS!$C$2:$C$5,0)))/SUMIFS(BASE_DATA!$R:$R,BASE_DATA!$G:$G,$Q$41,BASE_DATA!$A:$A,INDEX(PARAMS!$D$2:$D$5,MATCH($I$3,PARAMS!$C$2:$C$5,0))),0),IFERROR(SUMIFS(BASE_DATA!$T:$T,BASE_DATA!$G:$G,$Q$41,BASE_DATA!$A:$A,INDEX(PARAMS!$D$2:$D$5,MATCH($I$3,PARAMS!$C$2:$C$5,0)))/SUMIFS(BASE_DATA!$R:$R,BASE_DATA!$G:$G,$Q$41,BASE_DATA!$A:$A,INDEX(PARAMS!$D$2:$D$5,MATCH($I$3,PARAMS!$C$2:$C$5,0)))*40,0)))</f>
        <v>0</v>
      </c>
      <c r="S41" s="57" t="n">
        <f aca="false">IF($K$3="Stats brutes",SUMIFS(BASE_DATA!$U:$U,BASE_DATA!$G:$G,$Q$41,BASE_DATA!$A:$A,INDEX(PARAMS!$D$2:$D$5,MATCH($I$3,PARAMS!$C$2:$C$5,0))),IF($K$3="Par minute jouée",IFERROR(SUMIFS(BASE_DATA!$U:$U,BASE_DATA!$G:$G,$Q$41,BASE_DATA!$A:$A,INDEX(PARAMS!$D$2:$D$5,MATCH($I$3,PARAMS!$C$2:$C$5,0)))/SUMIFS(BASE_DATA!$R:$R,BASE_DATA!$G:$G,$Q$41,BASE_DATA!$A:$A,INDEX(PARAMS!$D$2:$D$5,MATCH($I$3,PARAMS!$C$2:$C$5,0))),0),IFERROR(SUMIFS(BASE_DATA!$U:$U,BASE_DATA!$G:$G,$Q$41,BASE_DATA!$A:$A,INDEX(PARAMS!$D$2:$D$5,MATCH($I$3,PARAMS!$C$2:$C$5,0)))/SUMIFS(BASE_DATA!$R:$R,BASE_DATA!$G:$G,$Q$41,BASE_DATA!$A:$A,INDEX(PARAMS!$D$2:$D$5,MATCH($I$3,PARAMS!$C$2:$C$5,0)))*40,0)))</f>
        <v>0</v>
      </c>
      <c r="T41" s="57" t="n">
        <f aca="false">IF($K$3="Stats brutes",SUMIFS(BASE_DATA!$V:$V,BASE_DATA!$G:$G,$Q$41,BASE_DATA!$A:$A,INDEX(PARAMS!$D$2:$D$5,MATCH($I$3,PARAMS!$C$2:$C$5,0))),IF($K$3="Par minute jouée",IFERROR(SUMIFS(BASE_DATA!$V:$V,BASE_DATA!$G:$G,$Q$41,BASE_DATA!$A:$A,INDEX(PARAMS!$D$2:$D$5,MATCH($I$3,PARAMS!$C$2:$C$5,0)))/SUMIFS(BASE_DATA!$R:$R,BASE_DATA!$G:$G,$Q$41,BASE_DATA!$A:$A,INDEX(PARAMS!$D$2:$D$5,MATCH($I$3,PARAMS!$C$2:$C$5,0))),0),IFERROR(SUMIFS(BASE_DATA!$V:$V,BASE_DATA!$G:$G,$Q$41,BASE_DATA!$A:$A,INDEX(PARAMS!$D$2:$D$5,MATCH($I$3,PARAMS!$C$2:$C$5,0)))/SUMIFS(BASE_DATA!$R:$R,BASE_DATA!$G:$G,$Q$41,BASE_DATA!$A:$A,INDEX(PARAMS!$D$2:$D$5,MATCH($I$3,PARAMS!$C$2:$C$5,0)))*40,0)))</f>
        <v>0</v>
      </c>
      <c r="U41" s="57" t="n">
        <f aca="false">IF($K$3="Stats brutes",SUMIFS(BASE_DATA!$W:$W,BASE_DATA!$G:$G,$Q$41,BASE_DATA!$A:$A,INDEX(PARAMS!$D$2:$D$5,MATCH($I$3,PARAMS!$C$2:$C$5,0))),IF($K$3="Par minute jouée",IFERROR(SUMIFS(BASE_DATA!$W:$W,BASE_DATA!$G:$G,$Q$41,BASE_DATA!$A:$A,INDEX(PARAMS!$D$2:$D$5,MATCH($I$3,PARAMS!$C$2:$C$5,0)))/SUMIFS(BASE_DATA!$R:$R,BASE_DATA!$G:$G,$Q$41,BASE_DATA!$A:$A,INDEX(PARAMS!$D$2:$D$5,MATCH($I$3,PARAMS!$C$2:$C$5,0))),0),IFERROR(SUMIFS(BASE_DATA!$W:$W,BASE_DATA!$G:$G,$Q$41,BASE_DATA!$A:$A,INDEX(PARAMS!$D$2:$D$5,MATCH($I$3,PARAMS!$C$2:$C$5,0)))/SUMIFS(BASE_DATA!$R:$R,BASE_DATA!$G:$G,$Q$41,BASE_DATA!$A:$A,INDEX(PARAMS!$D$2:$D$5,MATCH($I$3,PARAMS!$C$2:$C$5,0)))*40,0)))</f>
        <v>0</v>
      </c>
      <c r="V41" s="57" t="n">
        <f aca="false">IF($K$3="Stats brutes",SUMIFS(BASE_DATA!$AN:$AN,BASE_DATA!$G:$G,$Q$41,BASE_DATA!$A:$A,INDEX(PARAMS!$D$2:$D$5,MATCH($I$3,PARAMS!$C$2:$C$5,0))),IF($K$3="Par minute jouée",IFERROR(SUMIFS(BASE_DATA!$AN:$AN,BASE_DATA!$G:$G,$Q$41,BASE_DATA!$A:$A,INDEX(PARAMS!$D$2:$D$5,MATCH($I$3,PARAMS!$C$2:$C$5,0)))/SUMIFS(BASE_DATA!$R:$R,BASE_DATA!$G:$G,$Q$41,BASE_DATA!$A:$A,INDEX(PARAMS!$D$2:$D$5,MATCH($I$3,PARAMS!$C$2:$C$5,0))),0),IFERROR(SUMIFS(BASE_DATA!$AN:$AN,BASE_DATA!$G:$G,$Q$41,BASE_DATA!$A:$A,INDEX(PARAMS!$D$2:$D$5,MATCH($I$3,PARAMS!$C$2:$C$5,0)))/SUMIFS(BASE_DATA!$R:$R,BASE_DATA!$G:$G,$Q$41,BASE_DATA!$A:$A,INDEX(PARAMS!$D$2:$D$5,MATCH($I$3,PARAMS!$C$2:$C$5,0)))*40,0)))</f>
        <v>0</v>
      </c>
      <c r="W41" s="57" t="n">
        <f aca="false">IF($K$3="Stats brutes",SUMIFS(BASE_DATA!$AO:$AO,BASE_DATA!$G:$G,$Q$41,BASE_DATA!$A:$A,INDEX(PARAMS!$D$2:$D$5,MATCH($I$3,PARAMS!$C$2:$C$5,0))),IF($K$3="Par minute jouée",IFERROR(SUMIFS(BASE_DATA!$AO:$AO,BASE_DATA!$G:$G,$Q$41,BASE_DATA!$A:$A,INDEX(PARAMS!$D$2:$D$5,MATCH($I$3,PARAMS!$C$2:$C$5,0)))/SUMIFS(BASE_DATA!$R:$R,BASE_DATA!$G:$G,$Q$41,BASE_DATA!$A:$A,INDEX(PARAMS!$D$2:$D$5,MATCH($I$3,PARAMS!$C$2:$C$5,0))),0),IFERROR(SUMIFS(BASE_DATA!$AO:$AO,BASE_DATA!$G:$G,$Q$41,BASE_DATA!$A:$A,INDEX(PARAMS!$D$2:$D$5,MATCH($I$3,PARAMS!$C$2:$C$5,0)))/SUMIFS(BASE_DATA!$R:$R,BASE_DATA!$G:$G,$Q$41,BASE_DATA!$A:$A,INDEX(PARAMS!$D$2:$D$5,MATCH($I$3,PARAMS!$C$2:$C$5,0)))*40,0)))</f>
        <v>0</v>
      </c>
      <c r="X41" s="57" t="n">
        <f aca="false">IF($K$3="Stats brutes",SUMIFS(BASE_DATA!$AA:$AA,BASE_DATA!$G:$G,$Q$41,BASE_DATA!$A:$A,INDEX(PARAMS!$D$2:$D$5,MATCH($I$3,PARAMS!$C$2:$C$5,0))),IF($K$3="Par minute jouée",IFERROR(SUMIFS(BASE_DATA!$AA:$AA,BASE_DATA!$G:$G,$Q$41,BASE_DATA!$A:$A,INDEX(PARAMS!$D$2:$D$5,MATCH($I$3,PARAMS!$C$2:$C$5,0)))/SUMIFS(BASE_DATA!$R:$R,BASE_DATA!$G:$G,$Q$41,BASE_DATA!$A:$A,INDEX(PARAMS!$D$2:$D$5,MATCH($I$3,PARAMS!$C$2:$C$5,0))),0),IFERROR(SUMIFS(BASE_DATA!$AA:$AA,BASE_DATA!$G:$G,$Q$41,BASE_DATA!$A:$A,INDEX(PARAMS!$D$2:$D$5,MATCH($I$3,PARAMS!$C$2:$C$5,0)))/SUMIFS(BASE_DATA!$R:$R,BASE_DATA!$G:$G,$Q$41,BASE_DATA!$A:$A,INDEX(PARAMS!$D$2:$D$5,MATCH($I$3,PARAMS!$C$2:$C$5,0)))*40,0)))</f>
        <v>0</v>
      </c>
      <c r="Y41" s="57" t="n">
        <f aca="false">IF($K$3="Stats brutes",SUMIFS(BASE_DATA!$AH:$AH,BASE_DATA!$G:$G,$Q$41,BASE_DATA!$A:$A,INDEX(PARAMS!$D$2:$D$5,MATCH($I$3,PARAMS!$C$2:$C$5,0))),IF($K$3="Par minute jouée",IFERROR(SUMIFS(BASE_DATA!$AH:$AH,BASE_DATA!$G:$G,$Q$41,BASE_DATA!$A:$A,INDEX(PARAMS!$D$2:$D$5,MATCH($I$3,PARAMS!$C$2:$C$5,0)))/SUMIFS(BASE_DATA!$R:$R,BASE_DATA!$G:$G,$Q$41,BASE_DATA!$A:$A,INDEX(PARAMS!$D$2:$D$5,MATCH($I$3,PARAMS!$C$2:$C$5,0))),0),IFERROR(SUMIFS(BASE_DATA!$AH:$AH,BASE_DATA!$G:$G,$Q$41,BASE_DATA!$A:$A,INDEX(PARAMS!$D$2:$D$5,MATCH($I$3,PARAMS!$C$2:$C$5,0)))/SUMIFS(BASE_DATA!$R:$R,BASE_DATA!$G:$G,$Q$41,BASE_DATA!$A:$A,INDEX(PARAMS!$D$2:$D$5,MATCH($I$3,PARAMS!$C$2:$C$5,0)))*40,0)))</f>
        <v>0</v>
      </c>
      <c r="Z41" s="57" t="n">
        <f aca="false">IF($K$3="Stats brutes",SUMIFS(BASE_DATA!$AI:$AI,BASE_DATA!$G:$G,$Q$41,BASE_DATA!$A:$A,INDEX(PARAMS!$D$2:$D$5,MATCH($I$3,PARAMS!$C$2:$C$5,0))),IF($K$3="Par minute jouée",IFERROR(SUMIFS(BASE_DATA!$AI:$AI,BASE_DATA!$G:$G,$Q$41,BASE_DATA!$A:$A,INDEX(PARAMS!$D$2:$D$5,MATCH($I$3,PARAMS!$C$2:$C$5,0)))/SUMIFS(BASE_DATA!$R:$R,BASE_DATA!$G:$G,$Q$41,BASE_DATA!$A:$A,INDEX(PARAMS!$D$2:$D$5,MATCH($I$3,PARAMS!$C$2:$C$5,0))),0),IFERROR(SUMIFS(BASE_DATA!$AI:$AI,BASE_DATA!$G:$G,$Q$41,BASE_DATA!$A:$A,INDEX(PARAMS!$D$2:$D$5,MATCH($I$3,PARAMS!$C$2:$C$5,0)))/SUMIFS(BASE_DATA!$R:$R,BASE_DATA!$G:$G,$Q$41,BASE_DATA!$A:$A,INDEX(PARAMS!$D$2:$D$5,MATCH($I$3,PARAMS!$C$2:$C$5,0)))*40,0)))</f>
        <v>0</v>
      </c>
      <c r="AA41" s="57" t="n">
        <f aca="false">IF($K$3="Stats brutes",SUMIFS(BASE_DATA!$AJ:$AJ,BASE_DATA!$G:$G,$Q$41,BASE_DATA!$A:$A,INDEX(PARAMS!$D$2:$D$5,MATCH($I$3,PARAMS!$C$2:$C$5,0))),IF($K$3="Par minute jouée",IFERROR(SUMIFS(BASE_DATA!$AJ:$AJ,BASE_DATA!$G:$G,$Q$41,BASE_DATA!$A:$A,INDEX(PARAMS!$D$2:$D$5,MATCH($I$3,PARAMS!$C$2:$C$5,0)))/SUMIFS(BASE_DATA!$R:$R,BASE_DATA!$G:$G,$Q$41,BASE_DATA!$A:$A,INDEX(PARAMS!$D$2:$D$5,MATCH($I$3,PARAMS!$C$2:$C$5,0))),0),IFERROR(SUMIFS(BASE_DATA!$AJ:$AJ,BASE_DATA!$G:$G,$Q$41,BASE_DATA!$A:$A,INDEX(PARAMS!$D$2:$D$5,MATCH($I$3,PARAMS!$C$2:$C$5,0)))/SUMIFS(BASE_DATA!$R:$R,BASE_DATA!$G:$G,$Q$41,BASE_DATA!$A:$A,INDEX(PARAMS!$D$2:$D$5,MATCH($I$3,PARAMS!$C$2:$C$5,0)))*40,0)))</f>
        <v>0</v>
      </c>
      <c r="AB41" s="57" t="n">
        <f aca="false">IF($K$3="Stats brutes",SUMIFS(BASE_DATA!$AK:$AK,BASE_DATA!$G:$G,$Q$41,BASE_DATA!$A:$A,INDEX(PARAMS!$D$2:$D$5,MATCH($I$3,PARAMS!$C$2:$C$5,0))),IF($K$3="Par minute jouée",IFERROR(SUMIFS(BASE_DATA!$AK:$AK,BASE_DATA!$G:$G,$Q$41,BASE_DATA!$A:$A,INDEX(PARAMS!$D$2:$D$5,MATCH($I$3,PARAMS!$C$2:$C$5,0)))/SUMIFS(BASE_DATA!$R:$R,BASE_DATA!$G:$G,$Q$41,BASE_DATA!$A:$A,INDEX(PARAMS!$D$2:$D$5,MATCH($I$3,PARAMS!$C$2:$C$5,0))),0),IFERROR(SUMIFS(BASE_DATA!$AK:$AK,BASE_DATA!$G:$G,$Q$41,BASE_DATA!$A:$A,INDEX(PARAMS!$D$2:$D$5,MATCH($I$3,PARAMS!$C$2:$C$5,0)))/SUMIFS(BASE_DATA!$R:$R,BASE_DATA!$G:$G,$Q$41,BASE_DATA!$A:$A,INDEX(PARAMS!$D$2:$D$5,MATCH($I$3,PARAMS!$C$2:$C$5,0)))*40,0)))</f>
        <v>0</v>
      </c>
      <c r="AC41" s="58" t="n">
        <f aca="false">SUMIFS(BASE_DATA!$R:$R,BASE_DATA!$G:$G,$Q$41,BASE_DATA!$A:$A,INDEX(PARAMS!$D$2:$D$5,MATCH($I$3,PARAMS!$C$2:$C$5,0)))</f>
        <v>2.3</v>
      </c>
      <c r="AD41" s="59" t="n">
        <f aca="false">COUNTIFS(BASE_DATA!$G:$G,$Q$41,BASE_DATA!$A:$A,INDEX(PARAMS!$D$2:$D$5,MATCH($I$3,PARAMS!$C$2:$C$5,0)))</f>
        <v>1</v>
      </c>
    </row>
    <row r="42" customFormat="false" ht="15" hidden="false" customHeight="false" outlineLevel="0" collapsed="false">
      <c r="I42" s="73"/>
      <c r="J42" s="73"/>
      <c r="Q42" s="56" t="s">
        <v>124</v>
      </c>
      <c r="R42" s="57" t="n">
        <f aca="false">IF($K$3="Stats brutes",SUMIFS(BASE_DATA!$T:$T,BASE_DATA!$G:$G,$Q$42,BASE_DATA!$A:$A,INDEX(PARAMS!$D$2:$D$5,MATCH($I$3,PARAMS!$C$2:$C$5,0))),IF($K$3="Par minute jouée",IFERROR(SUMIFS(BASE_DATA!$T:$T,BASE_DATA!$G:$G,$Q$42,BASE_DATA!$A:$A,INDEX(PARAMS!$D$2:$D$5,MATCH($I$3,PARAMS!$C$2:$C$5,0)))/SUMIFS(BASE_DATA!$R:$R,BASE_DATA!$G:$G,$Q$42,BASE_DATA!$A:$A,INDEX(PARAMS!$D$2:$D$5,MATCH($I$3,PARAMS!$C$2:$C$5,0))),0),IFERROR(SUMIFS(BASE_DATA!$T:$T,BASE_DATA!$G:$G,$Q$42,BASE_DATA!$A:$A,INDEX(PARAMS!$D$2:$D$5,MATCH($I$3,PARAMS!$C$2:$C$5,0)))/SUMIFS(BASE_DATA!$R:$R,BASE_DATA!$G:$G,$Q$42,BASE_DATA!$A:$A,INDEX(PARAMS!$D$2:$D$5,MATCH($I$3,PARAMS!$C$2:$C$5,0)))*40,0)))</f>
        <v>0</v>
      </c>
      <c r="S42" s="57" t="n">
        <f aca="false">IF($K$3="Stats brutes",SUMIFS(BASE_DATA!$U:$U,BASE_DATA!$G:$G,$Q$42,BASE_DATA!$A:$A,INDEX(PARAMS!$D$2:$D$5,MATCH($I$3,PARAMS!$C$2:$C$5,0))),IF($K$3="Par minute jouée",IFERROR(SUMIFS(BASE_DATA!$U:$U,BASE_DATA!$G:$G,$Q$42,BASE_DATA!$A:$A,INDEX(PARAMS!$D$2:$D$5,MATCH($I$3,PARAMS!$C$2:$C$5,0)))/SUMIFS(BASE_DATA!$R:$R,BASE_DATA!$G:$G,$Q$42,BASE_DATA!$A:$A,INDEX(PARAMS!$D$2:$D$5,MATCH($I$3,PARAMS!$C$2:$C$5,0))),0),IFERROR(SUMIFS(BASE_DATA!$U:$U,BASE_DATA!$G:$G,$Q$42,BASE_DATA!$A:$A,INDEX(PARAMS!$D$2:$D$5,MATCH($I$3,PARAMS!$C$2:$C$5,0)))/SUMIFS(BASE_DATA!$R:$R,BASE_DATA!$G:$G,$Q$42,BASE_DATA!$A:$A,INDEX(PARAMS!$D$2:$D$5,MATCH($I$3,PARAMS!$C$2:$C$5,0)))*40,0)))</f>
        <v>0</v>
      </c>
      <c r="T42" s="57" t="n">
        <f aca="false">IF($K$3="Stats brutes",SUMIFS(BASE_DATA!$V:$V,BASE_DATA!$G:$G,$Q$42,BASE_DATA!$A:$A,INDEX(PARAMS!$D$2:$D$5,MATCH($I$3,PARAMS!$C$2:$C$5,0))),IF($K$3="Par minute jouée",IFERROR(SUMIFS(BASE_DATA!$V:$V,BASE_DATA!$G:$G,$Q$42,BASE_DATA!$A:$A,INDEX(PARAMS!$D$2:$D$5,MATCH($I$3,PARAMS!$C$2:$C$5,0)))/SUMIFS(BASE_DATA!$R:$R,BASE_DATA!$G:$G,$Q$42,BASE_DATA!$A:$A,INDEX(PARAMS!$D$2:$D$5,MATCH($I$3,PARAMS!$C$2:$C$5,0))),0),IFERROR(SUMIFS(BASE_DATA!$V:$V,BASE_DATA!$G:$G,$Q$42,BASE_DATA!$A:$A,INDEX(PARAMS!$D$2:$D$5,MATCH($I$3,PARAMS!$C$2:$C$5,0)))/SUMIFS(BASE_DATA!$R:$R,BASE_DATA!$G:$G,$Q$42,BASE_DATA!$A:$A,INDEX(PARAMS!$D$2:$D$5,MATCH($I$3,PARAMS!$C$2:$C$5,0)))*40,0)))</f>
        <v>6</v>
      </c>
      <c r="U42" s="57" t="n">
        <f aca="false">IF($K$3="Stats brutes",SUMIFS(BASE_DATA!$W:$W,BASE_DATA!$G:$G,$Q$42,BASE_DATA!$A:$A,INDEX(PARAMS!$D$2:$D$5,MATCH($I$3,PARAMS!$C$2:$C$5,0))),IF($K$3="Par minute jouée",IFERROR(SUMIFS(BASE_DATA!$W:$W,BASE_DATA!$G:$G,$Q$42,BASE_DATA!$A:$A,INDEX(PARAMS!$D$2:$D$5,MATCH($I$3,PARAMS!$C$2:$C$5,0)))/SUMIFS(BASE_DATA!$R:$R,BASE_DATA!$G:$G,$Q$42,BASE_DATA!$A:$A,INDEX(PARAMS!$D$2:$D$5,MATCH($I$3,PARAMS!$C$2:$C$5,0))),0),IFERROR(SUMIFS(BASE_DATA!$W:$W,BASE_DATA!$G:$G,$Q$42,BASE_DATA!$A:$A,INDEX(PARAMS!$D$2:$D$5,MATCH($I$3,PARAMS!$C$2:$C$5,0)))/SUMIFS(BASE_DATA!$R:$R,BASE_DATA!$G:$G,$Q$42,BASE_DATA!$A:$A,INDEX(PARAMS!$D$2:$D$5,MATCH($I$3,PARAMS!$C$2:$C$5,0)))*40,0)))</f>
        <v>0</v>
      </c>
      <c r="V42" s="57" t="n">
        <f aca="false">IF($K$3="Stats brutes",SUMIFS(BASE_DATA!$AN:$AN,BASE_DATA!$G:$G,$Q$42,BASE_DATA!$A:$A,INDEX(PARAMS!$D$2:$D$5,MATCH($I$3,PARAMS!$C$2:$C$5,0))),IF($K$3="Par minute jouée",IFERROR(SUMIFS(BASE_DATA!$AN:$AN,BASE_DATA!$G:$G,$Q$42,BASE_DATA!$A:$A,INDEX(PARAMS!$D$2:$D$5,MATCH($I$3,PARAMS!$C$2:$C$5,0)))/SUMIFS(BASE_DATA!$R:$R,BASE_DATA!$G:$G,$Q$42,BASE_DATA!$A:$A,INDEX(PARAMS!$D$2:$D$5,MATCH($I$3,PARAMS!$C$2:$C$5,0))),0),IFERROR(SUMIFS(BASE_DATA!$AN:$AN,BASE_DATA!$G:$G,$Q$42,BASE_DATA!$A:$A,INDEX(PARAMS!$D$2:$D$5,MATCH($I$3,PARAMS!$C$2:$C$5,0)))/SUMIFS(BASE_DATA!$R:$R,BASE_DATA!$G:$G,$Q$42,BASE_DATA!$A:$A,INDEX(PARAMS!$D$2:$D$5,MATCH($I$3,PARAMS!$C$2:$C$5,0)))*40,0)))</f>
        <v>1</v>
      </c>
      <c r="W42" s="57" t="n">
        <f aca="false">IF($K$3="Stats brutes",SUMIFS(BASE_DATA!$AO:$AO,BASE_DATA!$G:$G,$Q$42,BASE_DATA!$A:$A,INDEX(PARAMS!$D$2:$D$5,MATCH($I$3,PARAMS!$C$2:$C$5,0))),IF($K$3="Par minute jouée",IFERROR(SUMIFS(BASE_DATA!$AO:$AO,BASE_DATA!$G:$G,$Q$42,BASE_DATA!$A:$A,INDEX(PARAMS!$D$2:$D$5,MATCH($I$3,PARAMS!$C$2:$C$5,0)))/SUMIFS(BASE_DATA!$R:$R,BASE_DATA!$G:$G,$Q$42,BASE_DATA!$A:$A,INDEX(PARAMS!$D$2:$D$5,MATCH($I$3,PARAMS!$C$2:$C$5,0))),0),IFERROR(SUMIFS(BASE_DATA!$AO:$AO,BASE_DATA!$G:$G,$Q$42,BASE_DATA!$A:$A,INDEX(PARAMS!$D$2:$D$5,MATCH($I$3,PARAMS!$C$2:$C$5,0)))/SUMIFS(BASE_DATA!$R:$R,BASE_DATA!$G:$G,$Q$42,BASE_DATA!$A:$A,INDEX(PARAMS!$D$2:$D$5,MATCH($I$3,PARAMS!$C$2:$C$5,0)))*40,0)))</f>
        <v>4</v>
      </c>
      <c r="X42" s="57" t="n">
        <f aca="false">IF($K$3="Stats brutes",SUMIFS(BASE_DATA!$AA:$AA,BASE_DATA!$G:$G,$Q$42,BASE_DATA!$A:$A,INDEX(PARAMS!$D$2:$D$5,MATCH($I$3,PARAMS!$C$2:$C$5,0))),IF($K$3="Par minute jouée",IFERROR(SUMIFS(BASE_DATA!$AA:$AA,BASE_DATA!$G:$G,$Q$42,BASE_DATA!$A:$A,INDEX(PARAMS!$D$2:$D$5,MATCH($I$3,PARAMS!$C$2:$C$5,0)))/SUMIFS(BASE_DATA!$R:$R,BASE_DATA!$G:$G,$Q$42,BASE_DATA!$A:$A,INDEX(PARAMS!$D$2:$D$5,MATCH($I$3,PARAMS!$C$2:$C$5,0))),0),IFERROR(SUMIFS(BASE_DATA!$AA:$AA,BASE_DATA!$G:$G,$Q$42,BASE_DATA!$A:$A,INDEX(PARAMS!$D$2:$D$5,MATCH($I$3,PARAMS!$C$2:$C$5,0)))/SUMIFS(BASE_DATA!$R:$R,BASE_DATA!$G:$G,$Q$42,BASE_DATA!$A:$A,INDEX(PARAMS!$D$2:$D$5,MATCH($I$3,PARAMS!$C$2:$C$5,0)))*40,0)))</f>
        <v>5</v>
      </c>
      <c r="Y42" s="57" t="n">
        <f aca="false">IF($K$3="Stats brutes",SUMIFS(BASE_DATA!$AH:$AH,BASE_DATA!$G:$G,$Q$42,BASE_DATA!$A:$A,INDEX(PARAMS!$D$2:$D$5,MATCH($I$3,PARAMS!$C$2:$C$5,0))),IF($K$3="Par minute jouée",IFERROR(SUMIFS(BASE_DATA!$AH:$AH,BASE_DATA!$G:$G,$Q$42,BASE_DATA!$A:$A,INDEX(PARAMS!$D$2:$D$5,MATCH($I$3,PARAMS!$C$2:$C$5,0)))/SUMIFS(BASE_DATA!$R:$R,BASE_DATA!$G:$G,$Q$42,BASE_DATA!$A:$A,INDEX(PARAMS!$D$2:$D$5,MATCH($I$3,PARAMS!$C$2:$C$5,0))),0),IFERROR(SUMIFS(BASE_DATA!$AH:$AH,BASE_DATA!$G:$G,$Q$42,BASE_DATA!$A:$A,INDEX(PARAMS!$D$2:$D$5,MATCH($I$3,PARAMS!$C$2:$C$5,0)))/SUMIFS(BASE_DATA!$R:$R,BASE_DATA!$G:$G,$Q$42,BASE_DATA!$A:$A,INDEX(PARAMS!$D$2:$D$5,MATCH($I$3,PARAMS!$C$2:$C$5,0)))*40,0)))</f>
        <v>1</v>
      </c>
      <c r="Z42" s="57" t="n">
        <f aca="false">IF($K$3="Stats brutes",SUMIFS(BASE_DATA!$AI:$AI,BASE_DATA!$G:$G,$Q$42,BASE_DATA!$A:$A,INDEX(PARAMS!$D$2:$D$5,MATCH($I$3,PARAMS!$C$2:$C$5,0))),IF($K$3="Par minute jouée",IFERROR(SUMIFS(BASE_DATA!$AI:$AI,BASE_DATA!$G:$G,$Q$42,BASE_DATA!$A:$A,INDEX(PARAMS!$D$2:$D$5,MATCH($I$3,PARAMS!$C$2:$C$5,0)))/SUMIFS(BASE_DATA!$R:$R,BASE_DATA!$G:$G,$Q$42,BASE_DATA!$A:$A,INDEX(PARAMS!$D$2:$D$5,MATCH($I$3,PARAMS!$C$2:$C$5,0))),0),IFERROR(SUMIFS(BASE_DATA!$AI:$AI,BASE_DATA!$G:$G,$Q$42,BASE_DATA!$A:$A,INDEX(PARAMS!$D$2:$D$5,MATCH($I$3,PARAMS!$C$2:$C$5,0)))/SUMIFS(BASE_DATA!$R:$R,BASE_DATA!$G:$G,$Q$42,BASE_DATA!$A:$A,INDEX(PARAMS!$D$2:$D$5,MATCH($I$3,PARAMS!$C$2:$C$5,0)))*40,0)))</f>
        <v>2</v>
      </c>
      <c r="AA42" s="57" t="n">
        <f aca="false">IF($K$3="Stats brutes",SUMIFS(BASE_DATA!$AJ:$AJ,BASE_DATA!$G:$G,$Q$42,BASE_DATA!$A:$A,INDEX(PARAMS!$D$2:$D$5,MATCH($I$3,PARAMS!$C$2:$C$5,0))),IF($K$3="Par minute jouée",IFERROR(SUMIFS(BASE_DATA!$AJ:$AJ,BASE_DATA!$G:$G,$Q$42,BASE_DATA!$A:$A,INDEX(PARAMS!$D$2:$D$5,MATCH($I$3,PARAMS!$C$2:$C$5,0)))/SUMIFS(BASE_DATA!$R:$R,BASE_DATA!$G:$G,$Q$42,BASE_DATA!$A:$A,INDEX(PARAMS!$D$2:$D$5,MATCH($I$3,PARAMS!$C$2:$C$5,0))),0),IFERROR(SUMIFS(BASE_DATA!$AJ:$AJ,BASE_DATA!$G:$G,$Q$42,BASE_DATA!$A:$A,INDEX(PARAMS!$D$2:$D$5,MATCH($I$3,PARAMS!$C$2:$C$5,0)))/SUMIFS(BASE_DATA!$R:$R,BASE_DATA!$G:$G,$Q$42,BASE_DATA!$A:$A,INDEX(PARAMS!$D$2:$D$5,MATCH($I$3,PARAMS!$C$2:$C$5,0)))*40,0)))</f>
        <v>0</v>
      </c>
      <c r="AB42" s="57" t="n">
        <f aca="false">IF($K$3="Stats brutes",SUMIFS(BASE_DATA!$AK:$AK,BASE_DATA!$G:$G,$Q$42,BASE_DATA!$A:$A,INDEX(PARAMS!$D$2:$D$5,MATCH($I$3,PARAMS!$C$2:$C$5,0))),IF($K$3="Par minute jouée",IFERROR(SUMIFS(BASE_DATA!$AK:$AK,BASE_DATA!$G:$G,$Q$42,BASE_DATA!$A:$A,INDEX(PARAMS!$D$2:$D$5,MATCH($I$3,PARAMS!$C$2:$C$5,0)))/SUMIFS(BASE_DATA!$R:$R,BASE_DATA!$G:$G,$Q$42,BASE_DATA!$A:$A,INDEX(PARAMS!$D$2:$D$5,MATCH($I$3,PARAMS!$C$2:$C$5,0))),0),IFERROR(SUMIFS(BASE_DATA!$AK:$AK,BASE_DATA!$G:$G,$Q$42,BASE_DATA!$A:$A,INDEX(PARAMS!$D$2:$D$5,MATCH($I$3,PARAMS!$C$2:$C$5,0)))/SUMIFS(BASE_DATA!$R:$R,BASE_DATA!$G:$G,$Q$42,BASE_DATA!$A:$A,INDEX(PARAMS!$D$2:$D$5,MATCH($I$3,PARAMS!$C$2:$C$5,0)))*40,0)))</f>
        <v>0</v>
      </c>
      <c r="AC42" s="58" t="n">
        <f aca="false">SUMIFS(BASE_DATA!$R:$R,BASE_DATA!$G:$G,$Q$42,BASE_DATA!$A:$A,INDEX(PARAMS!$D$2:$D$5,MATCH($I$3,PARAMS!$C$2:$C$5,0)))</f>
        <v>14.0833</v>
      </c>
      <c r="AD42" s="59" t="n">
        <f aca="false">COUNTIFS(BASE_DATA!$G:$G,$Q$42,BASE_DATA!$A:$A,INDEX(PARAMS!$D$2:$D$5,MATCH($I$3,PARAMS!$C$2:$C$5,0)))</f>
        <v>1</v>
      </c>
    </row>
    <row r="43" customFormat="false" ht="15" hidden="false" customHeight="false" outlineLevel="0" collapsed="false">
      <c r="I43" s="73"/>
      <c r="J43" s="73"/>
      <c r="Q43" s="56" t="s">
        <v>125</v>
      </c>
      <c r="R43" s="57" t="n">
        <f aca="false">IF($K$3="Stats brutes",SUMIFS(BASE_DATA!$T:$T,BASE_DATA!$G:$G,$Q$43,BASE_DATA!$A:$A,INDEX(PARAMS!$D$2:$D$5,MATCH($I$3,PARAMS!$C$2:$C$5,0))),IF($K$3="Par minute jouée",IFERROR(SUMIFS(BASE_DATA!$T:$T,BASE_DATA!$G:$G,$Q$43,BASE_DATA!$A:$A,INDEX(PARAMS!$D$2:$D$5,MATCH($I$3,PARAMS!$C$2:$C$5,0)))/SUMIFS(BASE_DATA!$R:$R,BASE_DATA!$G:$G,$Q$43,BASE_DATA!$A:$A,INDEX(PARAMS!$D$2:$D$5,MATCH($I$3,PARAMS!$C$2:$C$5,0))),0),IFERROR(SUMIFS(BASE_DATA!$T:$T,BASE_DATA!$G:$G,$Q$43,BASE_DATA!$A:$A,INDEX(PARAMS!$D$2:$D$5,MATCH($I$3,PARAMS!$C$2:$C$5,0)))/SUMIFS(BASE_DATA!$R:$R,BASE_DATA!$G:$G,$Q$43,BASE_DATA!$A:$A,INDEX(PARAMS!$D$2:$D$5,MATCH($I$3,PARAMS!$C$2:$C$5,0)))*40,0)))</f>
        <v>0</v>
      </c>
      <c r="S43" s="57" t="n">
        <f aca="false">IF($K$3="Stats brutes",SUMIFS(BASE_DATA!$U:$U,BASE_DATA!$G:$G,$Q$43,BASE_DATA!$A:$A,INDEX(PARAMS!$D$2:$D$5,MATCH($I$3,PARAMS!$C$2:$C$5,0))),IF($K$3="Par minute jouée",IFERROR(SUMIFS(BASE_DATA!$U:$U,BASE_DATA!$G:$G,$Q$43,BASE_DATA!$A:$A,INDEX(PARAMS!$D$2:$D$5,MATCH($I$3,PARAMS!$C$2:$C$5,0)))/SUMIFS(BASE_DATA!$R:$R,BASE_DATA!$G:$G,$Q$43,BASE_DATA!$A:$A,INDEX(PARAMS!$D$2:$D$5,MATCH($I$3,PARAMS!$C$2:$C$5,0))),0),IFERROR(SUMIFS(BASE_DATA!$U:$U,BASE_DATA!$G:$G,$Q$43,BASE_DATA!$A:$A,INDEX(PARAMS!$D$2:$D$5,MATCH($I$3,PARAMS!$C$2:$C$5,0)))/SUMIFS(BASE_DATA!$R:$R,BASE_DATA!$G:$G,$Q$43,BASE_DATA!$A:$A,INDEX(PARAMS!$D$2:$D$5,MATCH($I$3,PARAMS!$C$2:$C$5,0)))*40,0)))</f>
        <v>0</v>
      </c>
      <c r="T43" s="57" t="n">
        <f aca="false">IF($K$3="Stats brutes",SUMIFS(BASE_DATA!$V:$V,BASE_DATA!$G:$G,$Q$43,BASE_DATA!$A:$A,INDEX(PARAMS!$D$2:$D$5,MATCH($I$3,PARAMS!$C$2:$C$5,0))),IF($K$3="Par minute jouée",IFERROR(SUMIFS(BASE_DATA!$V:$V,BASE_DATA!$G:$G,$Q$43,BASE_DATA!$A:$A,INDEX(PARAMS!$D$2:$D$5,MATCH($I$3,PARAMS!$C$2:$C$5,0)))/SUMIFS(BASE_DATA!$R:$R,BASE_DATA!$G:$G,$Q$43,BASE_DATA!$A:$A,INDEX(PARAMS!$D$2:$D$5,MATCH($I$3,PARAMS!$C$2:$C$5,0))),0),IFERROR(SUMIFS(BASE_DATA!$V:$V,BASE_DATA!$G:$G,$Q$43,BASE_DATA!$A:$A,INDEX(PARAMS!$D$2:$D$5,MATCH($I$3,PARAMS!$C$2:$C$5,0)))/SUMIFS(BASE_DATA!$R:$R,BASE_DATA!$G:$G,$Q$43,BASE_DATA!$A:$A,INDEX(PARAMS!$D$2:$D$5,MATCH($I$3,PARAMS!$C$2:$C$5,0)))*40,0)))</f>
        <v>3</v>
      </c>
      <c r="U43" s="57" t="n">
        <f aca="false">IF($K$3="Stats brutes",SUMIFS(BASE_DATA!$W:$W,BASE_DATA!$G:$G,$Q$43,BASE_DATA!$A:$A,INDEX(PARAMS!$D$2:$D$5,MATCH($I$3,PARAMS!$C$2:$C$5,0))),IF($K$3="Par minute jouée",IFERROR(SUMIFS(BASE_DATA!$W:$W,BASE_DATA!$G:$G,$Q$43,BASE_DATA!$A:$A,INDEX(PARAMS!$D$2:$D$5,MATCH($I$3,PARAMS!$C$2:$C$5,0)))/SUMIFS(BASE_DATA!$R:$R,BASE_DATA!$G:$G,$Q$43,BASE_DATA!$A:$A,INDEX(PARAMS!$D$2:$D$5,MATCH($I$3,PARAMS!$C$2:$C$5,0))),0),IFERROR(SUMIFS(BASE_DATA!$W:$W,BASE_DATA!$G:$G,$Q$43,BASE_DATA!$A:$A,INDEX(PARAMS!$D$2:$D$5,MATCH($I$3,PARAMS!$C$2:$C$5,0)))/SUMIFS(BASE_DATA!$R:$R,BASE_DATA!$G:$G,$Q$43,BASE_DATA!$A:$A,INDEX(PARAMS!$D$2:$D$5,MATCH($I$3,PARAMS!$C$2:$C$5,0)))*40,0)))</f>
        <v>1</v>
      </c>
      <c r="V43" s="57" t="n">
        <f aca="false">IF($K$3="Stats brutes",SUMIFS(BASE_DATA!$AN:$AN,BASE_DATA!$G:$G,$Q$43,BASE_DATA!$A:$A,INDEX(PARAMS!$D$2:$D$5,MATCH($I$3,PARAMS!$C$2:$C$5,0))),IF($K$3="Par minute jouée",IFERROR(SUMIFS(BASE_DATA!$AN:$AN,BASE_DATA!$G:$G,$Q$43,BASE_DATA!$A:$A,INDEX(PARAMS!$D$2:$D$5,MATCH($I$3,PARAMS!$C$2:$C$5,0)))/SUMIFS(BASE_DATA!$R:$R,BASE_DATA!$G:$G,$Q$43,BASE_DATA!$A:$A,INDEX(PARAMS!$D$2:$D$5,MATCH($I$3,PARAMS!$C$2:$C$5,0))),0),IFERROR(SUMIFS(BASE_DATA!$AN:$AN,BASE_DATA!$G:$G,$Q$43,BASE_DATA!$A:$A,INDEX(PARAMS!$D$2:$D$5,MATCH($I$3,PARAMS!$C$2:$C$5,0)))/SUMIFS(BASE_DATA!$R:$R,BASE_DATA!$G:$G,$Q$43,BASE_DATA!$A:$A,INDEX(PARAMS!$D$2:$D$5,MATCH($I$3,PARAMS!$C$2:$C$5,0)))*40,0)))</f>
        <v>0</v>
      </c>
      <c r="W43" s="57" t="n">
        <f aca="false">IF($K$3="Stats brutes",SUMIFS(BASE_DATA!$AO:$AO,BASE_DATA!$G:$G,$Q$43,BASE_DATA!$A:$A,INDEX(PARAMS!$D$2:$D$5,MATCH($I$3,PARAMS!$C$2:$C$5,0))),IF($K$3="Par minute jouée",IFERROR(SUMIFS(BASE_DATA!$AO:$AO,BASE_DATA!$G:$G,$Q$43,BASE_DATA!$A:$A,INDEX(PARAMS!$D$2:$D$5,MATCH($I$3,PARAMS!$C$2:$C$5,0)))/SUMIFS(BASE_DATA!$R:$R,BASE_DATA!$G:$G,$Q$43,BASE_DATA!$A:$A,INDEX(PARAMS!$D$2:$D$5,MATCH($I$3,PARAMS!$C$2:$C$5,0))),0),IFERROR(SUMIFS(BASE_DATA!$AO:$AO,BASE_DATA!$G:$G,$Q$43,BASE_DATA!$A:$A,INDEX(PARAMS!$D$2:$D$5,MATCH($I$3,PARAMS!$C$2:$C$5,0)))/SUMIFS(BASE_DATA!$R:$R,BASE_DATA!$G:$G,$Q$43,BASE_DATA!$A:$A,INDEX(PARAMS!$D$2:$D$5,MATCH($I$3,PARAMS!$C$2:$C$5,0)))*40,0)))</f>
        <v>1</v>
      </c>
      <c r="X43" s="57" t="n">
        <f aca="false">IF($K$3="Stats brutes",SUMIFS(BASE_DATA!$AA:$AA,BASE_DATA!$G:$G,$Q$43,BASE_DATA!$A:$A,INDEX(PARAMS!$D$2:$D$5,MATCH($I$3,PARAMS!$C$2:$C$5,0))),IF($K$3="Par minute jouée",IFERROR(SUMIFS(BASE_DATA!$AA:$AA,BASE_DATA!$G:$G,$Q$43,BASE_DATA!$A:$A,INDEX(PARAMS!$D$2:$D$5,MATCH($I$3,PARAMS!$C$2:$C$5,0)))/SUMIFS(BASE_DATA!$R:$R,BASE_DATA!$G:$G,$Q$43,BASE_DATA!$A:$A,INDEX(PARAMS!$D$2:$D$5,MATCH($I$3,PARAMS!$C$2:$C$5,0))),0),IFERROR(SUMIFS(BASE_DATA!$AA:$AA,BASE_DATA!$G:$G,$Q$43,BASE_DATA!$A:$A,INDEX(PARAMS!$D$2:$D$5,MATCH($I$3,PARAMS!$C$2:$C$5,0)))/SUMIFS(BASE_DATA!$R:$R,BASE_DATA!$G:$G,$Q$43,BASE_DATA!$A:$A,INDEX(PARAMS!$D$2:$D$5,MATCH($I$3,PARAMS!$C$2:$C$5,0)))*40,0)))</f>
        <v>4</v>
      </c>
      <c r="Y43" s="57" t="n">
        <f aca="false">IF($K$3="Stats brutes",SUMIFS(BASE_DATA!$AH:$AH,BASE_DATA!$G:$G,$Q$43,BASE_DATA!$A:$A,INDEX(PARAMS!$D$2:$D$5,MATCH($I$3,PARAMS!$C$2:$C$5,0))),IF($K$3="Par minute jouée",IFERROR(SUMIFS(BASE_DATA!$AH:$AH,BASE_DATA!$G:$G,$Q$43,BASE_DATA!$A:$A,INDEX(PARAMS!$D$2:$D$5,MATCH($I$3,PARAMS!$C$2:$C$5,0)))/SUMIFS(BASE_DATA!$R:$R,BASE_DATA!$G:$G,$Q$43,BASE_DATA!$A:$A,INDEX(PARAMS!$D$2:$D$5,MATCH($I$3,PARAMS!$C$2:$C$5,0))),0),IFERROR(SUMIFS(BASE_DATA!$AH:$AH,BASE_DATA!$G:$G,$Q$43,BASE_DATA!$A:$A,INDEX(PARAMS!$D$2:$D$5,MATCH($I$3,PARAMS!$C$2:$C$5,0)))/SUMIFS(BASE_DATA!$R:$R,BASE_DATA!$G:$G,$Q$43,BASE_DATA!$A:$A,INDEX(PARAMS!$D$2:$D$5,MATCH($I$3,PARAMS!$C$2:$C$5,0)))*40,0)))</f>
        <v>2</v>
      </c>
      <c r="Z43" s="57" t="n">
        <f aca="false">IF($K$3="Stats brutes",SUMIFS(BASE_DATA!$AI:$AI,BASE_DATA!$G:$G,$Q$43,BASE_DATA!$A:$A,INDEX(PARAMS!$D$2:$D$5,MATCH($I$3,PARAMS!$C$2:$C$5,0))),IF($K$3="Par minute jouée",IFERROR(SUMIFS(BASE_DATA!$AI:$AI,BASE_DATA!$G:$G,$Q$43,BASE_DATA!$A:$A,INDEX(PARAMS!$D$2:$D$5,MATCH($I$3,PARAMS!$C$2:$C$5,0)))/SUMIFS(BASE_DATA!$R:$R,BASE_DATA!$G:$G,$Q$43,BASE_DATA!$A:$A,INDEX(PARAMS!$D$2:$D$5,MATCH($I$3,PARAMS!$C$2:$C$5,0))),0),IFERROR(SUMIFS(BASE_DATA!$AI:$AI,BASE_DATA!$G:$G,$Q$43,BASE_DATA!$A:$A,INDEX(PARAMS!$D$2:$D$5,MATCH($I$3,PARAMS!$C$2:$C$5,0)))/SUMIFS(BASE_DATA!$R:$R,BASE_DATA!$G:$G,$Q$43,BASE_DATA!$A:$A,INDEX(PARAMS!$D$2:$D$5,MATCH($I$3,PARAMS!$C$2:$C$5,0)))*40,0)))</f>
        <v>4</v>
      </c>
      <c r="AA43" s="57" t="n">
        <f aca="false">IF($K$3="Stats brutes",SUMIFS(BASE_DATA!$AJ:$AJ,BASE_DATA!$G:$G,$Q$43,BASE_DATA!$A:$A,INDEX(PARAMS!$D$2:$D$5,MATCH($I$3,PARAMS!$C$2:$C$5,0))),IF($K$3="Par minute jouée",IFERROR(SUMIFS(BASE_DATA!$AJ:$AJ,BASE_DATA!$G:$G,$Q$43,BASE_DATA!$A:$A,INDEX(PARAMS!$D$2:$D$5,MATCH($I$3,PARAMS!$C$2:$C$5,0)))/SUMIFS(BASE_DATA!$R:$R,BASE_DATA!$G:$G,$Q$43,BASE_DATA!$A:$A,INDEX(PARAMS!$D$2:$D$5,MATCH($I$3,PARAMS!$C$2:$C$5,0))),0),IFERROR(SUMIFS(BASE_DATA!$AJ:$AJ,BASE_DATA!$G:$G,$Q$43,BASE_DATA!$A:$A,INDEX(PARAMS!$D$2:$D$5,MATCH($I$3,PARAMS!$C$2:$C$5,0)))/SUMIFS(BASE_DATA!$R:$R,BASE_DATA!$G:$G,$Q$43,BASE_DATA!$A:$A,INDEX(PARAMS!$D$2:$D$5,MATCH($I$3,PARAMS!$C$2:$C$5,0)))*40,0)))</f>
        <v>2</v>
      </c>
      <c r="AB43" s="57" t="n">
        <f aca="false">IF($K$3="Stats brutes",SUMIFS(BASE_DATA!$AK:$AK,BASE_DATA!$G:$G,$Q$43,BASE_DATA!$A:$A,INDEX(PARAMS!$D$2:$D$5,MATCH($I$3,PARAMS!$C$2:$C$5,0))),IF($K$3="Par minute jouée",IFERROR(SUMIFS(BASE_DATA!$AK:$AK,BASE_DATA!$G:$G,$Q$43,BASE_DATA!$A:$A,INDEX(PARAMS!$D$2:$D$5,MATCH($I$3,PARAMS!$C$2:$C$5,0)))/SUMIFS(BASE_DATA!$R:$R,BASE_DATA!$G:$G,$Q$43,BASE_DATA!$A:$A,INDEX(PARAMS!$D$2:$D$5,MATCH($I$3,PARAMS!$C$2:$C$5,0))),0),IFERROR(SUMIFS(BASE_DATA!$AK:$AK,BASE_DATA!$G:$G,$Q$43,BASE_DATA!$A:$A,INDEX(PARAMS!$D$2:$D$5,MATCH($I$3,PARAMS!$C$2:$C$5,0)))/SUMIFS(BASE_DATA!$R:$R,BASE_DATA!$G:$G,$Q$43,BASE_DATA!$A:$A,INDEX(PARAMS!$D$2:$D$5,MATCH($I$3,PARAMS!$C$2:$C$5,0)))*40,0)))</f>
        <v>2</v>
      </c>
      <c r="AC43" s="58" t="n">
        <f aca="false">SUMIFS(BASE_DATA!$R:$R,BASE_DATA!$G:$G,$Q$43,BASE_DATA!$A:$A,INDEX(PARAMS!$D$2:$D$5,MATCH($I$3,PARAMS!$C$2:$C$5,0)))</f>
        <v>9.85</v>
      </c>
      <c r="AD43" s="59" t="n">
        <f aca="false">COUNTIFS(BASE_DATA!$G:$G,$Q$43,BASE_DATA!$A:$A,INDEX(PARAMS!$D$2:$D$5,MATCH($I$3,PARAMS!$C$2:$C$5,0)))</f>
        <v>1</v>
      </c>
    </row>
    <row r="44" customFormat="false" ht="15" hidden="false" customHeight="false" outlineLevel="0" collapsed="false">
      <c r="I44" s="73"/>
      <c r="J44" s="73"/>
      <c r="Q44" s="56" t="s">
        <v>126</v>
      </c>
      <c r="R44" s="57" t="n">
        <f aca="false">IF($K$3="Stats brutes",SUMIFS(BASE_DATA!$T:$T,BASE_DATA!$G:$G,$Q$44,BASE_DATA!$A:$A,INDEX(PARAMS!$D$2:$D$5,MATCH($I$3,PARAMS!$C$2:$C$5,0))),IF($K$3="Par minute jouée",IFERROR(SUMIFS(BASE_DATA!$T:$T,BASE_DATA!$G:$G,$Q$44,BASE_DATA!$A:$A,INDEX(PARAMS!$D$2:$D$5,MATCH($I$3,PARAMS!$C$2:$C$5,0)))/SUMIFS(BASE_DATA!$R:$R,BASE_DATA!$G:$G,$Q$44,BASE_DATA!$A:$A,INDEX(PARAMS!$D$2:$D$5,MATCH($I$3,PARAMS!$C$2:$C$5,0))),0),IFERROR(SUMIFS(BASE_DATA!$T:$T,BASE_DATA!$G:$G,$Q$44,BASE_DATA!$A:$A,INDEX(PARAMS!$D$2:$D$5,MATCH($I$3,PARAMS!$C$2:$C$5,0)))/SUMIFS(BASE_DATA!$R:$R,BASE_DATA!$G:$G,$Q$44,BASE_DATA!$A:$A,INDEX(PARAMS!$D$2:$D$5,MATCH($I$3,PARAMS!$C$2:$C$5,0)))*40,0)))</f>
        <v>0</v>
      </c>
      <c r="S44" s="57" t="n">
        <f aca="false">IF($K$3="Stats brutes",SUMIFS(BASE_DATA!$U:$U,BASE_DATA!$G:$G,$Q$44,BASE_DATA!$A:$A,INDEX(PARAMS!$D$2:$D$5,MATCH($I$3,PARAMS!$C$2:$C$5,0))),IF($K$3="Par minute jouée",IFERROR(SUMIFS(BASE_DATA!$U:$U,BASE_DATA!$G:$G,$Q$44,BASE_DATA!$A:$A,INDEX(PARAMS!$D$2:$D$5,MATCH($I$3,PARAMS!$C$2:$C$5,0)))/SUMIFS(BASE_DATA!$R:$R,BASE_DATA!$G:$G,$Q$44,BASE_DATA!$A:$A,INDEX(PARAMS!$D$2:$D$5,MATCH($I$3,PARAMS!$C$2:$C$5,0))),0),IFERROR(SUMIFS(BASE_DATA!$U:$U,BASE_DATA!$G:$G,$Q$44,BASE_DATA!$A:$A,INDEX(PARAMS!$D$2:$D$5,MATCH($I$3,PARAMS!$C$2:$C$5,0)))/SUMIFS(BASE_DATA!$R:$R,BASE_DATA!$G:$G,$Q$44,BASE_DATA!$A:$A,INDEX(PARAMS!$D$2:$D$5,MATCH($I$3,PARAMS!$C$2:$C$5,0)))*40,0)))</f>
        <v>0</v>
      </c>
      <c r="T44" s="57" t="n">
        <f aca="false">IF($K$3="Stats brutes",SUMIFS(BASE_DATA!$V:$V,BASE_DATA!$G:$G,$Q$44,BASE_DATA!$A:$A,INDEX(PARAMS!$D$2:$D$5,MATCH($I$3,PARAMS!$C$2:$C$5,0))),IF($K$3="Par minute jouée",IFERROR(SUMIFS(BASE_DATA!$V:$V,BASE_DATA!$G:$G,$Q$44,BASE_DATA!$A:$A,INDEX(PARAMS!$D$2:$D$5,MATCH($I$3,PARAMS!$C$2:$C$5,0)))/SUMIFS(BASE_DATA!$R:$R,BASE_DATA!$G:$G,$Q$44,BASE_DATA!$A:$A,INDEX(PARAMS!$D$2:$D$5,MATCH($I$3,PARAMS!$C$2:$C$5,0))),0),IFERROR(SUMIFS(BASE_DATA!$V:$V,BASE_DATA!$G:$G,$Q$44,BASE_DATA!$A:$A,INDEX(PARAMS!$D$2:$D$5,MATCH($I$3,PARAMS!$C$2:$C$5,0)))/SUMIFS(BASE_DATA!$R:$R,BASE_DATA!$G:$G,$Q$44,BASE_DATA!$A:$A,INDEX(PARAMS!$D$2:$D$5,MATCH($I$3,PARAMS!$C$2:$C$5,0)))*40,0)))</f>
        <v>0</v>
      </c>
      <c r="U44" s="57" t="n">
        <f aca="false">IF($K$3="Stats brutes",SUMIFS(BASE_DATA!$W:$W,BASE_DATA!$G:$G,$Q$44,BASE_DATA!$A:$A,INDEX(PARAMS!$D$2:$D$5,MATCH($I$3,PARAMS!$C$2:$C$5,0))),IF($K$3="Par minute jouée",IFERROR(SUMIFS(BASE_DATA!$W:$W,BASE_DATA!$G:$G,$Q$44,BASE_DATA!$A:$A,INDEX(PARAMS!$D$2:$D$5,MATCH($I$3,PARAMS!$C$2:$C$5,0)))/SUMIFS(BASE_DATA!$R:$R,BASE_DATA!$G:$G,$Q$44,BASE_DATA!$A:$A,INDEX(PARAMS!$D$2:$D$5,MATCH($I$3,PARAMS!$C$2:$C$5,0))),0),IFERROR(SUMIFS(BASE_DATA!$W:$W,BASE_DATA!$G:$G,$Q$44,BASE_DATA!$A:$A,INDEX(PARAMS!$D$2:$D$5,MATCH($I$3,PARAMS!$C$2:$C$5,0)))/SUMIFS(BASE_DATA!$R:$R,BASE_DATA!$G:$G,$Q$44,BASE_DATA!$A:$A,INDEX(PARAMS!$D$2:$D$5,MATCH($I$3,PARAMS!$C$2:$C$5,0)))*40,0)))</f>
        <v>0</v>
      </c>
      <c r="V44" s="57" t="n">
        <f aca="false">IF($K$3="Stats brutes",SUMIFS(BASE_DATA!$AN:$AN,BASE_DATA!$G:$G,$Q$44,BASE_DATA!$A:$A,INDEX(PARAMS!$D$2:$D$5,MATCH($I$3,PARAMS!$C$2:$C$5,0))),IF($K$3="Par minute jouée",IFERROR(SUMIFS(BASE_DATA!$AN:$AN,BASE_DATA!$G:$G,$Q$44,BASE_DATA!$A:$A,INDEX(PARAMS!$D$2:$D$5,MATCH($I$3,PARAMS!$C$2:$C$5,0)))/SUMIFS(BASE_DATA!$R:$R,BASE_DATA!$G:$G,$Q$44,BASE_DATA!$A:$A,INDEX(PARAMS!$D$2:$D$5,MATCH($I$3,PARAMS!$C$2:$C$5,0))),0),IFERROR(SUMIFS(BASE_DATA!$AN:$AN,BASE_DATA!$G:$G,$Q$44,BASE_DATA!$A:$A,INDEX(PARAMS!$D$2:$D$5,MATCH($I$3,PARAMS!$C$2:$C$5,0)))/SUMIFS(BASE_DATA!$R:$R,BASE_DATA!$G:$G,$Q$44,BASE_DATA!$A:$A,INDEX(PARAMS!$D$2:$D$5,MATCH($I$3,PARAMS!$C$2:$C$5,0)))*40,0)))</f>
        <v>0</v>
      </c>
      <c r="W44" s="57" t="n">
        <f aca="false">IF($K$3="Stats brutes",SUMIFS(BASE_DATA!$AO:$AO,BASE_DATA!$G:$G,$Q$44,BASE_DATA!$A:$A,INDEX(PARAMS!$D$2:$D$5,MATCH($I$3,PARAMS!$C$2:$C$5,0))),IF($K$3="Par minute jouée",IFERROR(SUMIFS(BASE_DATA!$AO:$AO,BASE_DATA!$G:$G,$Q$44,BASE_DATA!$A:$A,INDEX(PARAMS!$D$2:$D$5,MATCH($I$3,PARAMS!$C$2:$C$5,0)))/SUMIFS(BASE_DATA!$R:$R,BASE_DATA!$G:$G,$Q$44,BASE_DATA!$A:$A,INDEX(PARAMS!$D$2:$D$5,MATCH($I$3,PARAMS!$C$2:$C$5,0))),0),IFERROR(SUMIFS(BASE_DATA!$AO:$AO,BASE_DATA!$G:$G,$Q$44,BASE_DATA!$A:$A,INDEX(PARAMS!$D$2:$D$5,MATCH($I$3,PARAMS!$C$2:$C$5,0)))/SUMIFS(BASE_DATA!$R:$R,BASE_DATA!$G:$G,$Q$44,BASE_DATA!$A:$A,INDEX(PARAMS!$D$2:$D$5,MATCH($I$3,PARAMS!$C$2:$C$5,0)))*40,0)))</f>
        <v>0</v>
      </c>
      <c r="X44" s="57" t="n">
        <f aca="false">IF($K$3="Stats brutes",SUMIFS(BASE_DATA!$AA:$AA,BASE_DATA!$G:$G,$Q$44,BASE_DATA!$A:$A,INDEX(PARAMS!$D$2:$D$5,MATCH($I$3,PARAMS!$C$2:$C$5,0))),IF($K$3="Par minute jouée",IFERROR(SUMIFS(BASE_DATA!$AA:$AA,BASE_DATA!$G:$G,$Q$44,BASE_DATA!$A:$A,INDEX(PARAMS!$D$2:$D$5,MATCH($I$3,PARAMS!$C$2:$C$5,0)))/SUMIFS(BASE_DATA!$R:$R,BASE_DATA!$G:$G,$Q$44,BASE_DATA!$A:$A,INDEX(PARAMS!$D$2:$D$5,MATCH($I$3,PARAMS!$C$2:$C$5,0))),0),IFERROR(SUMIFS(BASE_DATA!$AA:$AA,BASE_DATA!$G:$G,$Q$44,BASE_DATA!$A:$A,INDEX(PARAMS!$D$2:$D$5,MATCH($I$3,PARAMS!$C$2:$C$5,0)))/SUMIFS(BASE_DATA!$R:$R,BASE_DATA!$G:$G,$Q$44,BASE_DATA!$A:$A,INDEX(PARAMS!$D$2:$D$5,MATCH($I$3,PARAMS!$C$2:$C$5,0)))*40,0)))</f>
        <v>0</v>
      </c>
      <c r="Y44" s="57" t="n">
        <f aca="false">IF($K$3="Stats brutes",SUMIFS(BASE_DATA!$AH:$AH,BASE_DATA!$G:$G,$Q$44,BASE_DATA!$A:$A,INDEX(PARAMS!$D$2:$D$5,MATCH($I$3,PARAMS!$C$2:$C$5,0))),IF($K$3="Par minute jouée",IFERROR(SUMIFS(BASE_DATA!$AH:$AH,BASE_DATA!$G:$G,$Q$44,BASE_DATA!$A:$A,INDEX(PARAMS!$D$2:$D$5,MATCH($I$3,PARAMS!$C$2:$C$5,0)))/SUMIFS(BASE_DATA!$R:$R,BASE_DATA!$G:$G,$Q$44,BASE_DATA!$A:$A,INDEX(PARAMS!$D$2:$D$5,MATCH($I$3,PARAMS!$C$2:$C$5,0))),0),IFERROR(SUMIFS(BASE_DATA!$AH:$AH,BASE_DATA!$G:$G,$Q$44,BASE_DATA!$A:$A,INDEX(PARAMS!$D$2:$D$5,MATCH($I$3,PARAMS!$C$2:$C$5,0)))/SUMIFS(BASE_DATA!$R:$R,BASE_DATA!$G:$G,$Q$44,BASE_DATA!$A:$A,INDEX(PARAMS!$D$2:$D$5,MATCH($I$3,PARAMS!$C$2:$C$5,0)))*40,0)))</f>
        <v>0</v>
      </c>
      <c r="Z44" s="57" t="n">
        <f aca="false">IF($K$3="Stats brutes",SUMIFS(BASE_DATA!$AI:$AI,BASE_DATA!$G:$G,$Q$44,BASE_DATA!$A:$A,INDEX(PARAMS!$D$2:$D$5,MATCH($I$3,PARAMS!$C$2:$C$5,0))),IF($K$3="Par minute jouée",IFERROR(SUMIFS(BASE_DATA!$AI:$AI,BASE_DATA!$G:$G,$Q$44,BASE_DATA!$A:$A,INDEX(PARAMS!$D$2:$D$5,MATCH($I$3,PARAMS!$C$2:$C$5,0)))/SUMIFS(BASE_DATA!$R:$R,BASE_DATA!$G:$G,$Q$44,BASE_DATA!$A:$A,INDEX(PARAMS!$D$2:$D$5,MATCH($I$3,PARAMS!$C$2:$C$5,0))),0),IFERROR(SUMIFS(BASE_DATA!$AI:$AI,BASE_DATA!$G:$G,$Q$44,BASE_DATA!$A:$A,INDEX(PARAMS!$D$2:$D$5,MATCH($I$3,PARAMS!$C$2:$C$5,0)))/SUMIFS(BASE_DATA!$R:$R,BASE_DATA!$G:$G,$Q$44,BASE_DATA!$A:$A,INDEX(PARAMS!$D$2:$D$5,MATCH($I$3,PARAMS!$C$2:$C$5,0)))*40,0)))</f>
        <v>0</v>
      </c>
      <c r="AA44" s="57" t="n">
        <f aca="false">IF($K$3="Stats brutes",SUMIFS(BASE_DATA!$AJ:$AJ,BASE_DATA!$G:$G,$Q$44,BASE_DATA!$A:$A,INDEX(PARAMS!$D$2:$D$5,MATCH($I$3,PARAMS!$C$2:$C$5,0))),IF($K$3="Par minute jouée",IFERROR(SUMIFS(BASE_DATA!$AJ:$AJ,BASE_DATA!$G:$G,$Q$44,BASE_DATA!$A:$A,INDEX(PARAMS!$D$2:$D$5,MATCH($I$3,PARAMS!$C$2:$C$5,0)))/SUMIFS(BASE_DATA!$R:$R,BASE_DATA!$G:$G,$Q$44,BASE_DATA!$A:$A,INDEX(PARAMS!$D$2:$D$5,MATCH($I$3,PARAMS!$C$2:$C$5,0))),0),IFERROR(SUMIFS(BASE_DATA!$AJ:$AJ,BASE_DATA!$G:$G,$Q$44,BASE_DATA!$A:$A,INDEX(PARAMS!$D$2:$D$5,MATCH($I$3,PARAMS!$C$2:$C$5,0)))/SUMIFS(BASE_DATA!$R:$R,BASE_DATA!$G:$G,$Q$44,BASE_DATA!$A:$A,INDEX(PARAMS!$D$2:$D$5,MATCH($I$3,PARAMS!$C$2:$C$5,0)))*40,0)))</f>
        <v>0</v>
      </c>
      <c r="AB44" s="57" t="n">
        <f aca="false">IF($K$3="Stats brutes",SUMIFS(BASE_DATA!$AK:$AK,BASE_DATA!$G:$G,$Q$44,BASE_DATA!$A:$A,INDEX(PARAMS!$D$2:$D$5,MATCH($I$3,PARAMS!$C$2:$C$5,0))),IF($K$3="Par minute jouée",IFERROR(SUMIFS(BASE_DATA!$AK:$AK,BASE_DATA!$G:$G,$Q$44,BASE_DATA!$A:$A,INDEX(PARAMS!$D$2:$D$5,MATCH($I$3,PARAMS!$C$2:$C$5,0)))/SUMIFS(BASE_DATA!$R:$R,BASE_DATA!$G:$G,$Q$44,BASE_DATA!$A:$A,INDEX(PARAMS!$D$2:$D$5,MATCH($I$3,PARAMS!$C$2:$C$5,0))),0),IFERROR(SUMIFS(BASE_DATA!$AK:$AK,BASE_DATA!$G:$G,$Q$44,BASE_DATA!$A:$A,INDEX(PARAMS!$D$2:$D$5,MATCH($I$3,PARAMS!$C$2:$C$5,0)))/SUMIFS(BASE_DATA!$R:$R,BASE_DATA!$G:$G,$Q$44,BASE_DATA!$A:$A,INDEX(PARAMS!$D$2:$D$5,MATCH($I$3,PARAMS!$C$2:$C$5,0)))*40,0)))</f>
        <v>0</v>
      </c>
      <c r="AC44" s="58" t="n">
        <f aca="false">SUMIFS(BASE_DATA!$R:$R,BASE_DATA!$G:$G,$Q$44,BASE_DATA!$A:$A,INDEX(PARAMS!$D$2:$D$5,MATCH($I$3,PARAMS!$C$2:$C$5,0)))</f>
        <v>0</v>
      </c>
      <c r="AD44" s="59" t="n">
        <f aca="false">COUNTIFS(BASE_DATA!$G:$G,$Q$44,BASE_DATA!$A:$A,INDEX(PARAMS!$D$2:$D$5,MATCH($I$3,PARAMS!$C$2:$C$5,0)))</f>
        <v>0</v>
      </c>
    </row>
    <row r="45" customFormat="false" ht="15" hidden="false" customHeight="false" outlineLevel="0" collapsed="false">
      <c r="Q45" s="56" t="s">
        <v>258</v>
      </c>
      <c r="R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S45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T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U45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V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W45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X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Y45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Z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A45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B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C45" s="57" t="n">
        <f aca="false">IF($K$3="Stats brutes",IF($C$3="Total (tous matchs)",SUMIFS(BASE_DATA!$U:$U,BASE_DATA!$G:$G,$Q$20),SUMIFS(BASE_DATA!$U:$U,BASE_DATA!$G:$G,$Q$20,BASE_DATA!$A:$A,INDEX(PARAMS!$D$2:$D$5,MATCH($F$3,PARAMS!$C$2:$C$5,0)))),IF($K$3="Par minute jouée",IFERROR(IF($C$3="Total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matchs)",SUMIFS(BASE_DATA!$U:$U,BASE_DATA!$G:$G,$Q$20),SUMIFS(BASE_DATA!$U:$U,BASE_DATA!$G:$G,$Q$20,BASE_DATA!$A:$A,INDEX(PARAMS!$D$2:$D$5,MATCH($F$3,PARAMS!$C$2:$C$5,0))))/IF($C$3="Total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  <c r="AD45" s="57" t="n">
        <f aca="false">IF($K$3="Stats brutes",IF($C$3="Total (tous matchs)",SUMIFS(BASE_DATA!$T:$T,BASE_DATA!$G:$G,$Q$20),SUMIFS(BASE_DATA!$T:$T,BASE_DATA!$G:$G,$Q$20,BASE_DATA!$A:$A,INDEX(PARAMS!$D$2:$D$5,MATCH($F$3,PARAMS!$C$2:$C$5,0)))),IF($K$3="Par minute jouée",IFERROR(IF($C$3="Total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matchs)",SUMIFS(BASE_DATA!$R:$R,BASE_DATA!$G:$G,$Q$20),SUMIFS(BASE_DATA!$R:$R,BASE_DATA!$G:$G,$Q$20,BASE_DATA!$A:$A,INDEX(PARAMS!$D$2:$D$5,MATCH($F$3,PARAMS!$C$2:$C$5,0)))),0),IFERROR(IF($C$3="Total (tous matchs)",SUMIFS(BASE_DATA!$T:$T,BASE_DATA!$G:$G,$Q$20),SUMIFS(BASE_DATA!$T:$T,BASE_DATA!$G:$G,$Q$20,BASE_DATA!$A:$A,INDEX(PARAMS!$D$2:$D$5,MATCH($F$3,PARAMS!$C$2:$C$5,0))))/IF($C$3="Total (tous matchs)",SUMIFS(BASE_DATA!$R:$R,BASE_DATA!$G:$G,$Q$20),SUMIFS(BASE_DATA!$R:$R,BASE_DATA!$G:$G,$Q$20,BASE_DATA!$A:$A,INDEX(PARAMS!$D$2:$D$5,MATCH($F$3,PARAMS!$C$2:$C$5,0))))*40,0)))</f>
        <v>0</v>
      </c>
    </row>
    <row r="48" customFormat="false" ht="15" hidden="false" customHeight="false" outlineLevel="0" collapsed="false">
      <c r="T48" s="33" t="s">
        <v>152</v>
      </c>
      <c r="U48" s="33" t="str">
        <f aca="false">$C$5</f>
        <v>O. KAMISSOKO</v>
      </c>
      <c r="V48" s="33" t="str">
        <f aca="false">$F$5</f>
        <v>L. LADIRE</v>
      </c>
      <c r="W48" s="33" t="str">
        <f aca="false">$I$5</f>
        <v>K. DA ROCHA</v>
      </c>
      <c r="X48" s="33"/>
    </row>
    <row r="49" customFormat="false" ht="15" hidden="false" customHeight="false" outlineLevel="0" collapsed="false">
      <c r="T49" s="33" t="s">
        <v>18</v>
      </c>
      <c r="U49" s="90" t="n">
        <f aca="false">IFERROR(VLOOKUP($C$5,$Q$1:$AD$20,2,FALSE()),0)</f>
        <v>1</v>
      </c>
      <c r="V49" s="90" t="n">
        <f aca="false">IFERROR(VLOOKUP($F$5,$Q$1:$AD$20,2,FALSE()),0)</f>
        <v>1</v>
      </c>
      <c r="W49" s="90" t="n">
        <f aca="false">IFERROR(VLOOKUP($I$5,$Q$1:$AD$20,2,FALSE()),0)</f>
        <v>1</v>
      </c>
      <c r="X49" s="90"/>
    </row>
    <row r="50" customFormat="false" ht="15" hidden="false" customHeight="false" outlineLevel="0" collapsed="false">
      <c r="T50" s="33" t="s">
        <v>20</v>
      </c>
      <c r="U50" s="90" t="n">
        <f aca="false">IFERROR(VLOOKUP($C$5,$Q$1:$AD$20,3,FALSE()),0)</f>
        <v>1</v>
      </c>
      <c r="V50" s="90" t="n">
        <f aca="false">IFERROR(VLOOKUP($F$5,$Q$1:$AD$20,3,FALSE()),0)</f>
        <v>0</v>
      </c>
      <c r="W50" s="90" t="n">
        <f aca="false">IFERROR(VLOOKUP($I$5,$Q$1:$AD$20,3,FALSE()),0)</f>
        <v>0</v>
      </c>
      <c r="X50" s="90"/>
    </row>
    <row r="51" customFormat="false" ht="15" hidden="false" customHeight="false" outlineLevel="0" collapsed="false">
      <c r="T51" s="33" t="s">
        <v>37</v>
      </c>
      <c r="U51" s="90" t="n">
        <f aca="false">IFERROR(VLOOKUP($C$5,$Q$1:$AD$20,4,FALSE()),0)</f>
        <v>1</v>
      </c>
      <c r="V51" s="90" t="n">
        <f aca="false">IFERROR(VLOOKUP($F$5,$Q$1:$AD$20,4,FALSE()),0)</f>
        <v>4</v>
      </c>
      <c r="W51" s="90" t="n">
        <f aca="false">IFERROR(VLOOKUP($I$5,$Q$1:$AD$20,4,FALSE()),0)</f>
        <v>7</v>
      </c>
      <c r="X51" s="90"/>
    </row>
    <row r="52" customFormat="false" ht="15" hidden="false" customHeight="false" outlineLevel="0" collapsed="false">
      <c r="T52" s="33" t="s">
        <v>54</v>
      </c>
      <c r="U52" s="90" t="n">
        <f aca="false">IFERROR(VLOOKUP($C$5,$Q$1:$AD$20,6,FALSE()),0)</f>
        <v>0</v>
      </c>
      <c r="V52" s="90" t="n">
        <f aca="false">IFERROR(VLOOKUP($F$5,$Q$1:$AD$20,6,FALSE()),0)</f>
        <v>1</v>
      </c>
      <c r="W52" s="90" t="n">
        <f aca="false">IFERROR(VLOOKUP($I$5,$Q$1:$AD$20,6,FALSE()),0)</f>
        <v>1</v>
      </c>
      <c r="X52" s="90"/>
    </row>
    <row r="53" customFormat="false" ht="15" hidden="false" customHeight="false" outlineLevel="0" collapsed="false">
      <c r="T53" s="33" t="s">
        <v>56</v>
      </c>
      <c r="U53" s="90" t="n">
        <f aca="false">IFERROR(VLOOKUP($C$5,$Q$1:$AD$20,7,FALSE()),0)</f>
        <v>1</v>
      </c>
      <c r="V53" s="90" t="n">
        <f aca="false">IFERROR(VLOOKUP($F$5,$Q$1:$AD$20,7,FALSE()),0)</f>
        <v>4</v>
      </c>
      <c r="W53" s="90" t="n">
        <f aca="false">IFERROR(VLOOKUP($I$5,$Q$1:$AD$20,7,FALSE()),0)</f>
        <v>2</v>
      </c>
      <c r="X53" s="90"/>
    </row>
    <row r="54" customFormat="false" ht="15" hidden="false" customHeight="false" outlineLevel="0" collapsed="false">
      <c r="T54" s="33" t="s">
        <v>111</v>
      </c>
      <c r="U54" s="90" t="n">
        <f aca="false">IFERROR(VLOOKUP($C$5,$Q$1:$AD$20,8,FALSE()),0)</f>
        <v>8</v>
      </c>
      <c r="V54" s="90" t="n">
        <f aca="false">IFERROR(VLOOKUP($F$5,$Q$1:$AD$20,8,FALSE()),0)</f>
        <v>5</v>
      </c>
      <c r="W54" s="90" t="n">
        <f aca="false">IFERROR(VLOOKUP($I$5,$Q$1:$AD$20,8,FALSE()),0)</f>
        <v>4</v>
      </c>
      <c r="X54" s="90"/>
    </row>
  </sheetData>
  <mergeCells count="2">
    <mergeCell ref="A1:N2"/>
    <mergeCell ref="K3:L3"/>
  </mergeCells>
  <dataValidations count="4">
    <dataValidation allowBlank="false" errorStyle="stop" operator="between" showDropDown="false" showErrorMessage="false" showInputMessage="false" sqref="C5 F5 I5 L5" type="list">
      <formula1>"A. HENRY,E. MOHAMED,F. BADAD,F. SIMIAND,H. BRAGUE,I. BERRADA,K. DA ROCHA,L. LADIRE,L. RAHO MOUSSA,M. TRAORE,O. KAMISSOKO,R. HOUMADI,R. SNOUSSI,S. AGUENGUI,S. CARFACHE,S. LALAYMIA,T. FERREIRA,Y. EL KAIM BILLAH,Z. CHAKRI"</formula1>
      <formula2>0</formula2>
    </dataValidation>
    <dataValidation allowBlank="false" errorStyle="stop" operator="between" showDropDown="false" showErrorMessage="false" showInputMessage="false" sqref="C3" type="list">
      <formula1>PARAMS!$A$2:$A$4</formula1>
      <formula2>0</formula2>
    </dataValidation>
    <dataValidation allowBlank="false" errorStyle="stop" operator="between" showDropDown="false" showErrorMessage="false" showInputMessage="false" sqref="F3 I3" type="list">
      <formula1>PARAMS!$C$2:$C$5</formula1>
      <formula2>0</formula2>
    </dataValidation>
    <dataValidation allowBlank="false" errorStyle="stop" operator="between" showDropDown="false" showErrorMessage="false" showInputMessage="false" sqref="K3" type="list">
      <formula1>PARAMS!$F$2:$F$4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28B22"/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O35" activeCellId="1" sqref="K3:M3 O3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3" width="18"/>
    <col collapsed="false" customWidth="true" hidden="false" outlineLevel="0" max="2" min="2" style="23" width="12"/>
    <col collapsed="false" customWidth="true" hidden="false" outlineLevel="0" max="5" min="3" style="23" width="8"/>
    <col collapsed="false" customWidth="true" hidden="false" outlineLevel="0" max="6" min="6" style="23" width="9"/>
    <col collapsed="false" customWidth="true" hidden="false" outlineLevel="0" max="10" min="7" style="23" width="11"/>
    <col collapsed="false" customWidth="true" hidden="false" outlineLevel="0" max="11" min="11" style="23" width="10"/>
    <col collapsed="false" customWidth="true" hidden="false" outlineLevel="0" max="12" min="12" style="23" width="8"/>
  </cols>
  <sheetData>
    <row r="1" customFormat="false" ht="15" hidden="false" customHeight="true" outlineLevel="0" collapsed="false">
      <c r="A1" s="24" t="s">
        <v>267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customFormat="false" ht="15" hidden="false" customHeight="true" outlineLevel="0" collapsed="false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customFormat="false" ht="15" hidden="false" customHeight="tru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customFormat="false" ht="15.75" hidden="false" customHeight="true" outlineLevel="0" collapsed="false">
      <c r="A4" s="8" t="s">
        <v>268</v>
      </c>
      <c r="B4" s="8"/>
      <c r="C4" s="8"/>
      <c r="D4" s="8"/>
      <c r="E4" s="8"/>
      <c r="F4" s="8"/>
      <c r="G4" s="8"/>
      <c r="H4" s="8"/>
      <c r="I4" s="8"/>
    </row>
    <row r="5" customFormat="false" ht="15" hidden="false" customHeight="true" outlineLevel="0" collapsed="false">
      <c r="A5" s="53" t="s">
        <v>176</v>
      </c>
      <c r="B5" s="53" t="s">
        <v>43</v>
      </c>
      <c r="C5" s="53" t="s">
        <v>110</v>
      </c>
      <c r="D5" s="53" t="s">
        <v>130</v>
      </c>
      <c r="E5" s="53" t="s">
        <v>177</v>
      </c>
      <c r="F5" s="53" t="s">
        <v>178</v>
      </c>
      <c r="G5" s="53" t="s">
        <v>269</v>
      </c>
      <c r="H5" s="53" t="s">
        <v>96</v>
      </c>
      <c r="I5" s="53" t="s">
        <v>98</v>
      </c>
    </row>
    <row r="6" customFormat="false" ht="15" hidden="false" customHeight="true" outlineLevel="0" collapsed="false">
      <c r="A6" s="91" t="s">
        <v>179</v>
      </c>
      <c r="B6" s="11" t="n">
        <v>1</v>
      </c>
      <c r="C6" s="11" t="n">
        <v>3</v>
      </c>
      <c r="D6" s="11" t="n">
        <v>65</v>
      </c>
      <c r="E6" s="11" t="n">
        <v>23</v>
      </c>
      <c r="F6" s="11" t="n">
        <v>7</v>
      </c>
      <c r="G6" s="54" t="n">
        <v>0.766666666666667</v>
      </c>
      <c r="H6" s="11" t="n">
        <v>14.2</v>
      </c>
      <c r="I6" s="11" t="n">
        <v>4.3</v>
      </c>
    </row>
    <row r="7" customFormat="false" ht="15" hidden="false" customHeight="true" outlineLevel="0" collapsed="false">
      <c r="A7" s="92" t="s">
        <v>214</v>
      </c>
      <c r="B7" s="14" t="n">
        <v>12</v>
      </c>
      <c r="C7" s="14" t="n">
        <v>1</v>
      </c>
      <c r="D7" s="14" t="n">
        <v>20</v>
      </c>
      <c r="E7" s="14" t="n">
        <v>2</v>
      </c>
      <c r="F7" s="14" t="n">
        <v>0</v>
      </c>
      <c r="G7" s="93" t="n">
        <v>1</v>
      </c>
      <c r="H7" s="14" t="n">
        <v>4</v>
      </c>
      <c r="I7" s="14" t="n">
        <v>0</v>
      </c>
    </row>
    <row r="8" customFormat="false" ht="15" hidden="false" customHeight="true" outlineLevel="0" collapsed="false">
      <c r="A8" s="91" t="s">
        <v>234</v>
      </c>
      <c r="B8" s="11" t="n">
        <v>12</v>
      </c>
      <c r="C8" s="11" t="n">
        <v>1</v>
      </c>
      <c r="D8" s="11" t="n">
        <v>15.9</v>
      </c>
      <c r="E8" s="11" t="n">
        <v>2</v>
      </c>
      <c r="F8" s="11" t="n">
        <v>1</v>
      </c>
      <c r="G8" s="54" t="n">
        <v>0.666666666666667</v>
      </c>
      <c r="H8" s="11" t="n">
        <v>5</v>
      </c>
      <c r="I8" s="11" t="n">
        <v>2.5</v>
      </c>
    </row>
    <row r="9" customFormat="false" ht="15" hidden="false" customHeight="true" outlineLevel="0" collapsed="false">
      <c r="A9" s="92" t="s">
        <v>213</v>
      </c>
      <c r="B9" s="14" t="n">
        <v>16</v>
      </c>
      <c r="C9" s="14" t="n">
        <v>1</v>
      </c>
      <c r="D9" s="14" t="n">
        <v>20</v>
      </c>
      <c r="E9" s="14" t="n">
        <v>4</v>
      </c>
      <c r="F9" s="14" t="n">
        <v>3</v>
      </c>
      <c r="G9" s="93" t="n">
        <v>0.571428571428571</v>
      </c>
      <c r="H9" s="14" t="n">
        <v>8</v>
      </c>
      <c r="I9" s="14" t="n">
        <v>6</v>
      </c>
    </row>
    <row r="10" customFormat="false" ht="15" hidden="false" customHeight="true" outlineLevel="0" collapsed="false">
      <c r="A10" s="91" t="s">
        <v>201</v>
      </c>
      <c r="B10" s="11" t="n">
        <v>16</v>
      </c>
      <c r="C10" s="11" t="n">
        <v>2</v>
      </c>
      <c r="D10" s="11" t="n">
        <v>36.5</v>
      </c>
      <c r="E10" s="11" t="n">
        <v>18</v>
      </c>
      <c r="F10" s="11" t="n">
        <v>7</v>
      </c>
      <c r="G10" s="54" t="n">
        <v>0.72</v>
      </c>
      <c r="H10" s="11" t="n">
        <v>19.7</v>
      </c>
      <c r="I10" s="11" t="n">
        <v>7.7</v>
      </c>
    </row>
    <row r="12" customFormat="false" ht="15.75" hidden="false" customHeight="true" outlineLevel="0" collapsed="false">
      <c r="A12" s="8" t="s">
        <v>270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</row>
    <row r="13" customFormat="false" ht="15" hidden="false" customHeight="true" outlineLevel="0" collapsed="false">
      <c r="A13" s="53" t="s">
        <v>176</v>
      </c>
      <c r="B13" s="53" t="s">
        <v>11</v>
      </c>
      <c r="C13" s="53" t="s">
        <v>271</v>
      </c>
      <c r="D13" s="53" t="s">
        <v>156</v>
      </c>
      <c r="E13" s="53" t="s">
        <v>177</v>
      </c>
      <c r="F13" s="53" t="s">
        <v>178</v>
      </c>
      <c r="G13" s="53" t="s">
        <v>84</v>
      </c>
      <c r="H13" s="53" t="s">
        <v>86</v>
      </c>
      <c r="I13" s="53" t="s">
        <v>88</v>
      </c>
      <c r="J13" s="53" t="s">
        <v>90</v>
      </c>
      <c r="K13" s="53" t="s">
        <v>92</v>
      </c>
      <c r="L13" s="53" t="s">
        <v>111</v>
      </c>
    </row>
    <row r="14" customFormat="false" ht="15" hidden="false" customHeight="true" outlineLevel="0" collapsed="false">
      <c r="A14" s="91" t="s">
        <v>213</v>
      </c>
      <c r="B14" s="11" t="s">
        <v>22</v>
      </c>
      <c r="C14" s="11" t="n">
        <v>2</v>
      </c>
      <c r="D14" s="11" t="s">
        <v>202</v>
      </c>
      <c r="E14" s="11" t="n">
        <v>4</v>
      </c>
      <c r="F14" s="11" t="n">
        <v>3</v>
      </c>
      <c r="G14" s="11" t="n">
        <v>11</v>
      </c>
      <c r="H14" s="11" t="n">
        <v>0</v>
      </c>
      <c r="I14" s="11" t="n">
        <v>3</v>
      </c>
      <c r="J14" s="11" t="n">
        <v>3</v>
      </c>
      <c r="K14" s="54" t="n">
        <v>0.823529411764706</v>
      </c>
      <c r="L14" s="11" t="n">
        <v>5</v>
      </c>
    </row>
    <row r="15" customFormat="false" ht="15" hidden="false" customHeight="true" outlineLevel="0" collapsed="false">
      <c r="A15" s="92" t="s">
        <v>201</v>
      </c>
      <c r="B15" s="14" t="s">
        <v>30</v>
      </c>
      <c r="C15" s="14" t="n">
        <v>1</v>
      </c>
      <c r="D15" s="14" t="s">
        <v>202</v>
      </c>
      <c r="E15" s="14" t="n">
        <v>8</v>
      </c>
      <c r="F15" s="14" t="n">
        <v>2</v>
      </c>
      <c r="G15" s="14" t="n">
        <v>8</v>
      </c>
      <c r="H15" s="14" t="n">
        <v>0</v>
      </c>
      <c r="I15" s="14" t="n">
        <v>2</v>
      </c>
      <c r="J15" s="14" t="n">
        <v>5</v>
      </c>
      <c r="K15" s="93" t="n">
        <v>0.666666666666667</v>
      </c>
      <c r="L15" s="14" t="n">
        <v>4</v>
      </c>
    </row>
    <row r="16" customFormat="false" ht="15" hidden="false" customHeight="true" outlineLevel="0" collapsed="false">
      <c r="A16" s="91" t="s">
        <v>201</v>
      </c>
      <c r="B16" s="11" t="s">
        <v>30</v>
      </c>
      <c r="C16" s="11" t="n">
        <v>2</v>
      </c>
      <c r="D16" s="11" t="s">
        <v>232</v>
      </c>
      <c r="E16" s="11" t="n">
        <v>10</v>
      </c>
      <c r="F16" s="11" t="n">
        <v>5</v>
      </c>
      <c r="G16" s="11" t="n">
        <v>8</v>
      </c>
      <c r="H16" s="11" t="n">
        <v>0</v>
      </c>
      <c r="I16" s="11" t="n">
        <v>3</v>
      </c>
      <c r="J16" s="11" t="n">
        <v>2</v>
      </c>
      <c r="K16" s="54" t="n">
        <v>0.846153846153846</v>
      </c>
      <c r="L16" s="11" t="n">
        <v>0</v>
      </c>
    </row>
    <row r="17" customFormat="false" ht="15" hidden="false" customHeight="true" outlineLevel="0" collapsed="false">
      <c r="A17" s="92" t="s">
        <v>214</v>
      </c>
      <c r="B17" s="14" t="s">
        <v>22</v>
      </c>
      <c r="C17" s="14" t="n">
        <v>2</v>
      </c>
      <c r="D17" s="14" t="s">
        <v>202</v>
      </c>
      <c r="E17" s="14" t="n">
        <v>2</v>
      </c>
      <c r="F17" s="14" t="n">
        <v>0</v>
      </c>
      <c r="G17" s="14" t="n">
        <v>10</v>
      </c>
      <c r="H17" s="14" t="n">
        <v>0</v>
      </c>
      <c r="I17" s="14" t="n">
        <v>1</v>
      </c>
      <c r="J17" s="14" t="n">
        <v>0</v>
      </c>
      <c r="K17" s="93" t="n">
        <v>1</v>
      </c>
      <c r="L17" s="14" t="n">
        <v>0</v>
      </c>
    </row>
    <row r="18" customFormat="false" ht="15" hidden="false" customHeight="true" outlineLevel="0" collapsed="false">
      <c r="A18" s="91" t="s">
        <v>179</v>
      </c>
      <c r="B18" s="11" t="s">
        <v>22</v>
      </c>
      <c r="C18" s="11" t="n">
        <v>1</v>
      </c>
      <c r="D18" s="11" t="s">
        <v>180</v>
      </c>
      <c r="E18" s="11" t="n">
        <v>13</v>
      </c>
      <c r="F18" s="11" t="n">
        <v>3</v>
      </c>
      <c r="G18" s="11" t="n">
        <v>21</v>
      </c>
      <c r="H18" s="11" t="n">
        <v>0</v>
      </c>
      <c r="I18" s="11" t="n">
        <v>6</v>
      </c>
      <c r="J18" s="11" t="n">
        <v>5</v>
      </c>
      <c r="K18" s="54" t="n">
        <v>0.84375</v>
      </c>
      <c r="L18" s="11" t="n">
        <v>4</v>
      </c>
    </row>
    <row r="19" customFormat="false" ht="15" hidden="false" customHeight="true" outlineLevel="0" collapsed="false">
      <c r="A19" s="92" t="s">
        <v>179</v>
      </c>
      <c r="B19" s="14" t="s">
        <v>30</v>
      </c>
      <c r="C19" s="14" t="n">
        <v>1</v>
      </c>
      <c r="D19" s="14" t="s">
        <v>202</v>
      </c>
      <c r="E19" s="14" t="n">
        <v>7</v>
      </c>
      <c r="F19" s="14" t="n">
        <v>4</v>
      </c>
      <c r="G19" s="14" t="n">
        <v>13</v>
      </c>
      <c r="H19" s="14" t="n">
        <v>0</v>
      </c>
      <c r="I19" s="14" t="n">
        <v>5</v>
      </c>
      <c r="J19" s="14" t="n">
        <v>1</v>
      </c>
      <c r="K19" s="93" t="n">
        <v>0.947368421052632</v>
      </c>
      <c r="L19" s="14" t="n">
        <v>3</v>
      </c>
    </row>
    <row r="20" customFormat="false" ht="15" hidden="false" customHeight="true" outlineLevel="0" collapsed="false">
      <c r="A20" s="91" t="s">
        <v>179</v>
      </c>
      <c r="B20" s="11" t="s">
        <v>30</v>
      </c>
      <c r="C20" s="11" t="n">
        <v>2</v>
      </c>
      <c r="D20" s="11" t="s">
        <v>233</v>
      </c>
      <c r="E20" s="11" t="n">
        <v>3</v>
      </c>
      <c r="F20" s="11" t="n">
        <v>0</v>
      </c>
      <c r="G20" s="11" t="n">
        <v>1</v>
      </c>
      <c r="H20" s="11" t="n">
        <v>0</v>
      </c>
      <c r="I20" s="11" t="n">
        <v>0</v>
      </c>
      <c r="J20" s="11" t="n">
        <v>1</v>
      </c>
      <c r="K20" s="54" t="n">
        <v>0.5</v>
      </c>
      <c r="L20" s="11" t="n">
        <v>1</v>
      </c>
    </row>
    <row r="21" customFormat="false" ht="15" hidden="false" customHeight="true" outlineLevel="0" collapsed="false">
      <c r="A21" s="92" t="s">
        <v>234</v>
      </c>
      <c r="B21" s="14" t="s">
        <v>30</v>
      </c>
      <c r="C21" s="14" t="n">
        <v>2</v>
      </c>
      <c r="D21" s="14" t="s">
        <v>235</v>
      </c>
      <c r="E21" s="14" t="n">
        <v>2</v>
      </c>
      <c r="F21" s="14" t="n">
        <v>1</v>
      </c>
      <c r="G21" s="14" t="n">
        <v>7</v>
      </c>
      <c r="H21" s="14" t="n">
        <v>0</v>
      </c>
      <c r="I21" s="14" t="n">
        <v>2</v>
      </c>
      <c r="J21" s="14" t="n">
        <v>2</v>
      </c>
      <c r="K21" s="93" t="n">
        <v>0.818181818181818</v>
      </c>
      <c r="L21" s="14" t="n">
        <v>0</v>
      </c>
    </row>
  </sheetData>
  <mergeCells count="3">
    <mergeCell ref="A1:L2"/>
    <mergeCell ref="A4:I4"/>
    <mergeCell ref="A12:L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A1" activeCellId="1" sqref="K3:M3 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23" t="s">
        <v>272</v>
      </c>
      <c r="C1" s="23" t="s">
        <v>273</v>
      </c>
      <c r="D1" s="23" t="s">
        <v>274</v>
      </c>
      <c r="F1" s="23" t="s">
        <v>275</v>
      </c>
    </row>
    <row r="2" customFormat="false" ht="15" hidden="false" customHeight="false" outlineLevel="0" collapsed="false">
      <c r="A2" s="23" t="s">
        <v>276</v>
      </c>
      <c r="C2" s="23" t="s">
        <v>244</v>
      </c>
      <c r="D2" s="23" t="s">
        <v>277</v>
      </c>
      <c r="F2" s="23" t="s">
        <v>248</v>
      </c>
    </row>
    <row r="3" customFormat="false" ht="15" hidden="false" customHeight="false" outlineLevel="0" collapsed="false">
      <c r="A3" s="23" t="s">
        <v>278</v>
      </c>
      <c r="C3" s="23" t="s">
        <v>279</v>
      </c>
      <c r="D3" s="23" t="s">
        <v>280</v>
      </c>
      <c r="F3" s="23" t="s">
        <v>281</v>
      </c>
    </row>
    <row r="4" customFormat="false" ht="15" hidden="false" customHeight="false" outlineLevel="0" collapsed="false">
      <c r="A4" s="23" t="s">
        <v>242</v>
      </c>
      <c r="C4" s="23" t="s">
        <v>282</v>
      </c>
      <c r="D4" s="23" t="s">
        <v>283</v>
      </c>
      <c r="F4" s="23" t="s">
        <v>284</v>
      </c>
    </row>
    <row r="5" customFormat="false" ht="15" hidden="false" customHeight="false" outlineLevel="0" collapsed="false">
      <c r="C5" s="23" t="s">
        <v>246</v>
      </c>
      <c r="D5" s="23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3205"/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H6" activeCellId="1" sqref="K3:M3 H6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94" width="22"/>
    <col collapsed="false" customWidth="true" hidden="false" outlineLevel="0" max="2" min="2" style="94" width="14"/>
    <col collapsed="false" customWidth="true" hidden="false" outlineLevel="0" max="3" min="3" style="94" width="9"/>
    <col collapsed="false" customWidth="true" hidden="false" outlineLevel="0" max="4" min="4" style="94" width="12"/>
    <col collapsed="false" customWidth="true" hidden="false" outlineLevel="0" max="7" min="5" style="94" width="11"/>
    <col collapsed="false" customWidth="true" hidden="false" outlineLevel="0" max="9" min="8" style="94" width="12"/>
    <col collapsed="false" customWidth="true" hidden="false" outlineLevel="0" max="11" min="10" style="94" width="13"/>
    <col collapsed="false" customWidth="false" hidden="false" outlineLevel="0" max="16384" min="12" style="94" width="11.53"/>
  </cols>
  <sheetData>
    <row r="1" customFormat="false" ht="24" hidden="false" customHeight="true" outlineLevel="0" collapsed="false">
      <c r="A1" s="95" t="s">
        <v>286</v>
      </c>
      <c r="B1" s="95"/>
      <c r="C1" s="95"/>
      <c r="D1" s="95"/>
      <c r="E1" s="95"/>
      <c r="F1" s="95"/>
      <c r="G1" s="95"/>
      <c r="H1" s="95"/>
      <c r="I1" s="95"/>
      <c r="J1" s="95"/>
      <c r="K1" s="95"/>
    </row>
    <row r="2" customFormat="false" ht="13.8" hidden="false" customHeight="false" outlineLevel="0" collapsed="false">
      <c r="A2" s="96" t="s">
        <v>287</v>
      </c>
      <c r="B2" s="96"/>
      <c r="C2" s="96"/>
      <c r="D2" s="96"/>
      <c r="E2" s="96"/>
      <c r="F2" s="96"/>
      <c r="G2" s="96"/>
      <c r="H2" s="96"/>
      <c r="I2" s="96"/>
      <c r="J2" s="96"/>
      <c r="K2" s="96"/>
    </row>
    <row r="4" customFormat="false" ht="24.7" hidden="false" customHeight="true" outlineLevel="0" collapsed="false">
      <c r="A4" s="97" t="s">
        <v>108</v>
      </c>
      <c r="B4" s="97" t="s">
        <v>109</v>
      </c>
      <c r="C4" s="97" t="s">
        <v>110</v>
      </c>
      <c r="D4" s="97" t="s">
        <v>288</v>
      </c>
      <c r="E4" s="97" t="s">
        <v>289</v>
      </c>
      <c r="F4" s="97" t="s">
        <v>290</v>
      </c>
      <c r="G4" s="97" t="s">
        <v>291</v>
      </c>
      <c r="H4" s="97" t="s">
        <v>292</v>
      </c>
      <c r="I4" s="97" t="s">
        <v>293</v>
      </c>
      <c r="J4" s="97" t="s">
        <v>294</v>
      </c>
      <c r="K4" s="97" t="s">
        <v>295</v>
      </c>
    </row>
    <row r="5" customFormat="false" ht="24.7" hidden="false" customHeight="true" outlineLevel="0" collapsed="false">
      <c r="A5" s="98" t="s">
        <v>25</v>
      </c>
      <c r="B5" s="98" t="str">
        <f aca="false">IFERROR(VLOOKUP(A5,CALCUL_NOTE!C:D,2,0),"")</f>
        <v>Ailier</v>
      </c>
      <c r="C5" s="98" t="n">
        <f aca="false">COUNTIF(CALCUL_NOTE!C$20:C$99,A5)</f>
        <v>4</v>
      </c>
      <c r="D5" s="99" t="n">
        <f aca="false">SUMIF(CALCUL_NOTE!C$20:C$99,A5,CALCUL_NOTE!E$20:E$99)</f>
        <v>69.1167</v>
      </c>
      <c r="E5" s="100" t="n">
        <f aca="false">IFERROR(AVERAGEIF(CALCUL_NOTE!C$20:C$99,A5,CALCUL_NOTE!L$20:L$99),"")</f>
        <v>14.7125</v>
      </c>
      <c r="F5" s="101" t="n">
        <f aca="false">IFERROR(MAX(H5:K5),"")</f>
        <v>15.95</v>
      </c>
      <c r="G5" s="101" t="n">
        <f aca="false">IFERROR(MIN(H5:K5),"")</f>
        <v>13</v>
      </c>
      <c r="H5" s="101" t="n">
        <f aca="false">IF(COUNTIFS(CALCUL_NOTE!C$20:C$99,A5,CALCUL_NOTE!A$20:A$99,"FRA_CROATIE_M1")=0,"-",SUMIFS(CALCUL_NOTE!L$20:L$99,CALCUL_NOTE!C$20:C$99,A5,CALCUL_NOTE!A$20:A$99,"FRA_CROATIE_M1"))</f>
        <v>15.95</v>
      </c>
      <c r="I5" s="101" t="n">
        <f aca="false">IF(COUNTIFS(CALCUL_NOTE!C$20:C$99,A5,CALCUL_NOTE!A$20:A$99,"FRA_CROATIE_M2")=0,"-",SUMIFS(CALCUL_NOTE!L$20:L$99,CALCUL_NOTE!C$20:C$99,A5,CALCUL_NOTE!A$20:A$99,"FRA_CROATIE_M2"))</f>
        <v>13</v>
      </c>
      <c r="J5" s="101" t="n">
        <f aca="false">IF(COUNTIFS(CALCUL_NOTE!C$20:C$99,A5,CALCUL_NOTE!A$20:A$99,"FRA_PORTUGAL_M1")=0,"-",SUMIFS(CALCUL_NOTE!L$20:L$99,CALCUL_NOTE!C$20:C$99,A5,CALCUL_NOTE!A$20:A$99,"FRA_PORTUGAL_M1"))</f>
        <v>15.2</v>
      </c>
      <c r="K5" s="101" t="n">
        <f aca="false">IF(COUNTIFS(CALCUL_NOTE!C$20:C$99,A5,CALCUL_NOTE!A$20:A$99,"FRA_PORTUGAL_M2")=0,"-",SUMIFS(CALCUL_NOTE!L$20:L$99,CALCUL_NOTE!C$20:C$99,A5,CALCUL_NOTE!A$20:A$99,"FRA_PORTUGAL_M2"))</f>
        <v>14.7</v>
      </c>
    </row>
    <row r="6" customFormat="false" ht="24.7" hidden="false" customHeight="true" outlineLevel="0" collapsed="false">
      <c r="A6" s="102" t="s">
        <v>118</v>
      </c>
      <c r="B6" s="98" t="str">
        <f aca="false">IFERROR(VLOOKUP(A6,CALCUL_NOTE!C:D,2,0),"")</f>
        <v>Ailier</v>
      </c>
      <c r="C6" s="98" t="n">
        <f aca="false">COUNTIF(CALCUL_NOTE!C$20:C$99,A6)</f>
        <v>2</v>
      </c>
      <c r="D6" s="99" t="n">
        <f aca="false">SUMIF(CALCUL_NOTE!C$20:C$99,A6,CALCUL_NOTE!E$20:E$99)</f>
        <v>26</v>
      </c>
      <c r="E6" s="100" t="n">
        <f aca="false">IFERROR(AVERAGEIF(CALCUL_NOTE!C$20:C$99,A6,CALCUL_NOTE!L$20:L$99),"")</f>
        <v>16.225</v>
      </c>
      <c r="F6" s="101" t="n">
        <f aca="false">IFERROR(MAX(H6:K6),"")</f>
        <v>17.85</v>
      </c>
      <c r="G6" s="101" t="n">
        <f aca="false">IFERROR(MIN(H6:K6),"")</f>
        <v>14.6</v>
      </c>
      <c r="H6" s="101" t="n">
        <f aca="false">IF(COUNTIFS(CALCUL_NOTE!C$20:C$99,A6,CALCUL_NOTE!A$20:A$99,"FRA_CROATIE_M1")=0,"-",SUMIFS(CALCUL_NOTE!L$20:L$99,CALCUL_NOTE!C$20:C$99,A6,CALCUL_NOTE!A$20:A$99,"FRA_CROATIE_M1"))</f>
        <v>17.85</v>
      </c>
      <c r="I6" s="101" t="n">
        <f aca="false">IF(COUNTIFS(CALCUL_NOTE!C$20:C$99,A6,CALCUL_NOTE!A$20:A$99,"FRA_CROATIE_M2")=0,"-",SUMIFS(CALCUL_NOTE!L$20:L$99,CALCUL_NOTE!C$20:C$99,A6,CALCUL_NOTE!A$20:A$99,"FRA_CROATIE_M2"))</f>
        <v>14.6</v>
      </c>
      <c r="J6" s="101" t="str">
        <f aca="false">IF(COUNTIFS(CALCUL_NOTE!C$20:C$99,A6,CALCUL_NOTE!A$20:A$99,"FRA_PORTUGAL_M1")=0,"-",SUMIFS(CALCUL_NOTE!L$20:L$99,CALCUL_NOTE!C$20:C$99,A6,CALCUL_NOTE!A$20:A$99,"FRA_PORTUGAL_M1"))</f>
        <v>-</v>
      </c>
      <c r="K6" s="101" t="str">
        <f aca="false">IF(COUNTIFS(CALCUL_NOTE!C$20:C$99,A6,CALCUL_NOTE!A$20:A$99,"FRA_PORTUGAL_M2")=0,"-",SUMIFS(CALCUL_NOTE!L$20:L$99,CALCUL_NOTE!C$20:C$99,A6,CALCUL_NOTE!A$20:A$99,"FRA_PORTUGAL_M2"))</f>
        <v>-</v>
      </c>
    </row>
    <row r="7" customFormat="false" ht="24.7" hidden="false" customHeight="true" outlineLevel="0" collapsed="false">
      <c r="A7" s="98" t="s">
        <v>40</v>
      </c>
      <c r="B7" s="98" t="str">
        <f aca="false">IFERROR(VLOOKUP(A7,CALCUL_NOTE!C:D,2,0),"")</f>
        <v>Meneur côté</v>
      </c>
      <c r="C7" s="98" t="n">
        <f aca="false">COUNTIF(CALCUL_NOTE!C$20:C$99,A7)</f>
        <v>4</v>
      </c>
      <c r="D7" s="99" t="n">
        <f aca="false">SUMIF(CALCUL_NOTE!C$20:C$99,A7,CALCUL_NOTE!E$20:E$99)</f>
        <v>60.4167</v>
      </c>
      <c r="E7" s="100" t="n">
        <f aca="false">IFERROR(AVERAGEIF(CALCUL_NOTE!C$20:C$99,A7,CALCUL_NOTE!L$20:L$99),"")</f>
        <v>11.675</v>
      </c>
      <c r="F7" s="101" t="n">
        <f aca="false">IFERROR(MAX(H7:K7),"")</f>
        <v>14.25</v>
      </c>
      <c r="G7" s="101" t="n">
        <f aca="false">IFERROR(MIN(H7:K7),"")</f>
        <v>9.35</v>
      </c>
      <c r="H7" s="101" t="n">
        <f aca="false">IF(COUNTIFS(CALCUL_NOTE!C$20:C$99,A7,CALCUL_NOTE!A$20:A$99,"FRA_CROATIE_M1")=0,"-",SUMIFS(CALCUL_NOTE!L$20:L$99,CALCUL_NOTE!C$20:C$99,A7,CALCUL_NOTE!A$20:A$99,"FRA_CROATIE_M1"))</f>
        <v>11</v>
      </c>
      <c r="I7" s="101" t="n">
        <f aca="false">IF(COUNTIFS(CALCUL_NOTE!C$20:C$99,A7,CALCUL_NOTE!A$20:A$99,"FRA_CROATIE_M2")=0,"-",SUMIFS(CALCUL_NOTE!L$20:L$99,CALCUL_NOTE!C$20:C$99,A7,CALCUL_NOTE!A$20:A$99,"FRA_CROATIE_M2"))</f>
        <v>14.25</v>
      </c>
      <c r="J7" s="101" t="n">
        <f aca="false">IF(COUNTIFS(CALCUL_NOTE!C$20:C$99,A7,CALCUL_NOTE!A$20:A$99,"FRA_PORTUGAL_M1")=0,"-",SUMIFS(CALCUL_NOTE!L$20:L$99,CALCUL_NOTE!C$20:C$99,A7,CALCUL_NOTE!A$20:A$99,"FRA_PORTUGAL_M1"))</f>
        <v>12.1</v>
      </c>
      <c r="K7" s="101" t="n">
        <f aca="false">IF(COUNTIFS(CALCUL_NOTE!C$20:C$99,A7,CALCUL_NOTE!A$20:A$99,"FRA_PORTUGAL_M2")=0,"-",SUMIFS(CALCUL_NOTE!L$20:L$99,CALCUL_NOTE!C$20:C$99,A7,CALCUL_NOTE!A$20:A$99,"FRA_PORTUGAL_M2"))</f>
        <v>9.35</v>
      </c>
    </row>
    <row r="8" customFormat="false" ht="24.7" hidden="false" customHeight="true" outlineLevel="0" collapsed="false">
      <c r="A8" s="102" t="s">
        <v>120</v>
      </c>
      <c r="B8" s="98" t="str">
        <f aca="false">IFERROR(VLOOKUP(A8,CALCUL_NOTE!C:D,2,0),"")</f>
        <v>Meneur côté</v>
      </c>
      <c r="C8" s="98" t="n">
        <f aca="false">COUNTIF(CALCUL_NOTE!C$20:C$99,A8)</f>
        <v>2</v>
      </c>
      <c r="D8" s="99" t="n">
        <f aca="false">SUMIF(CALCUL_NOTE!C$20:C$99,A8,CALCUL_NOTE!E$20:E$99)</f>
        <v>26.5</v>
      </c>
      <c r="E8" s="100" t="n">
        <f aca="false">IFERROR(AVERAGEIF(CALCUL_NOTE!C$20:C$99,A8,CALCUL_NOTE!L$20:L$99),"")</f>
        <v>13.9</v>
      </c>
      <c r="F8" s="101" t="n">
        <f aca="false">IFERROR(MAX(H8:K8),"")</f>
        <v>15.95</v>
      </c>
      <c r="G8" s="101" t="n">
        <f aca="false">IFERROR(MIN(H8:K8),"")</f>
        <v>11.85</v>
      </c>
      <c r="H8" s="101" t="n">
        <f aca="false">IF(COUNTIFS(CALCUL_NOTE!C$20:C$99,A8,CALCUL_NOTE!A$20:A$99,"FRA_CROATIE_M1")=0,"-",SUMIFS(CALCUL_NOTE!L$20:L$99,CALCUL_NOTE!C$20:C$99,A8,CALCUL_NOTE!A$20:A$99,"FRA_CROATIE_M1"))</f>
        <v>15.95</v>
      </c>
      <c r="I8" s="101" t="n">
        <f aca="false">IF(COUNTIFS(CALCUL_NOTE!C$20:C$99,A8,CALCUL_NOTE!A$20:A$99,"FRA_CROATIE_M2")=0,"-",SUMIFS(CALCUL_NOTE!L$20:L$99,CALCUL_NOTE!C$20:C$99,A8,CALCUL_NOTE!A$20:A$99,"FRA_CROATIE_M2"))</f>
        <v>11.85</v>
      </c>
      <c r="J8" s="101" t="str">
        <f aca="false">IF(COUNTIFS(CALCUL_NOTE!C$20:C$99,A8,CALCUL_NOTE!A$20:A$99,"FRA_PORTUGAL_M1")=0,"-",SUMIFS(CALCUL_NOTE!L$20:L$99,CALCUL_NOTE!C$20:C$99,A8,CALCUL_NOTE!A$20:A$99,"FRA_PORTUGAL_M1"))</f>
        <v>-</v>
      </c>
      <c r="K8" s="101" t="str">
        <f aca="false">IF(COUNTIFS(CALCUL_NOTE!C$20:C$99,A8,CALCUL_NOTE!A$20:A$99,"FRA_PORTUGAL_M2")=0,"-",SUMIFS(CALCUL_NOTE!L$20:L$99,CALCUL_NOTE!C$20:C$99,A8,CALCUL_NOTE!A$20:A$99,"FRA_PORTUGAL_M2"))</f>
        <v>-</v>
      </c>
    </row>
    <row r="9" customFormat="false" ht="24.7" hidden="false" customHeight="true" outlineLevel="0" collapsed="false">
      <c r="A9" s="98" t="s">
        <v>24</v>
      </c>
      <c r="B9" s="98" t="str">
        <f aca="false">IFERROR(VLOOKUP(A9,CALCUL_NOTE!C:D,2,0),"")</f>
        <v>Meneur</v>
      </c>
      <c r="C9" s="98" t="n">
        <f aca="false">COUNTIF(CALCUL_NOTE!C$20:C$99,A9)</f>
        <v>4</v>
      </c>
      <c r="D9" s="99" t="n">
        <f aca="false">SUMIF(CALCUL_NOTE!C$20:C$99,A9,CALCUL_NOTE!E$20:E$99)</f>
        <v>64.1</v>
      </c>
      <c r="E9" s="100" t="n">
        <f aca="false">IFERROR(AVERAGEIF(CALCUL_NOTE!C$20:C$99,A9,CALCUL_NOTE!L$20:L$99),"")</f>
        <v>18.075</v>
      </c>
      <c r="F9" s="101" t="n">
        <f aca="false">IFERROR(MAX(H9:K9),"")</f>
        <v>20</v>
      </c>
      <c r="G9" s="101" t="n">
        <f aca="false">IFERROR(MIN(H9:K9),"")</f>
        <v>13.45</v>
      </c>
      <c r="H9" s="101" t="n">
        <f aca="false">IF(COUNTIFS(CALCUL_NOTE!C$20:C$99,A9,CALCUL_NOTE!A$20:A$99,"FRA_CROATIE_M1")=0,"-",SUMIFS(CALCUL_NOTE!L$20:L$99,CALCUL_NOTE!C$20:C$99,A9,CALCUL_NOTE!A$20:A$99,"FRA_CROATIE_M1"))</f>
        <v>20</v>
      </c>
      <c r="I9" s="101" t="n">
        <f aca="false">IF(COUNTIFS(CALCUL_NOTE!C$20:C$99,A9,CALCUL_NOTE!A$20:A$99,"FRA_CROATIE_M2")=0,"-",SUMIFS(CALCUL_NOTE!L$20:L$99,CALCUL_NOTE!C$20:C$99,A9,CALCUL_NOTE!A$20:A$99,"FRA_CROATIE_M2"))</f>
        <v>13.45</v>
      </c>
      <c r="J9" s="101" t="n">
        <f aca="false">IF(COUNTIFS(CALCUL_NOTE!C$20:C$99,A9,CALCUL_NOTE!A$20:A$99,"FRA_PORTUGAL_M1")=0,"-",SUMIFS(CALCUL_NOTE!L$20:L$99,CALCUL_NOTE!C$20:C$99,A9,CALCUL_NOTE!A$20:A$99,"FRA_PORTUGAL_M1"))</f>
        <v>18.85</v>
      </c>
      <c r="K9" s="101" t="n">
        <f aca="false">IF(COUNTIFS(CALCUL_NOTE!C$20:C$99,A9,CALCUL_NOTE!A$20:A$99,"FRA_PORTUGAL_M2")=0,"-",SUMIFS(CALCUL_NOTE!L$20:L$99,CALCUL_NOTE!C$20:C$99,A9,CALCUL_NOTE!A$20:A$99,"FRA_PORTUGAL_M2"))</f>
        <v>20</v>
      </c>
    </row>
    <row r="10" customFormat="false" ht="24.7" hidden="false" customHeight="true" outlineLevel="0" collapsed="false">
      <c r="A10" s="102" t="s">
        <v>27</v>
      </c>
      <c r="B10" s="98" t="str">
        <f aca="false">IFERROR(VLOOKUP(A10,CALCUL_NOTE!C:D,2,0),"")</f>
        <v>Ailier</v>
      </c>
      <c r="C10" s="98" t="n">
        <f aca="false">COUNTIF(CALCUL_NOTE!C$20:C$99,A10)</f>
        <v>2</v>
      </c>
      <c r="D10" s="99" t="n">
        <f aca="false">SUMIF(CALCUL_NOTE!C$20:C$99,A10,CALCUL_NOTE!E$20:E$99)</f>
        <v>32.5</v>
      </c>
      <c r="E10" s="100" t="n">
        <f aca="false">IFERROR(AVERAGEIF(CALCUL_NOTE!C$20:C$99,A10,CALCUL_NOTE!L$20:L$99),"")</f>
        <v>19.975</v>
      </c>
      <c r="F10" s="101" t="n">
        <f aca="false">IFERROR(MAX(H10:K10),"")</f>
        <v>20</v>
      </c>
      <c r="G10" s="101" t="n">
        <f aca="false">IFERROR(MIN(H10:K10),"")</f>
        <v>19.95</v>
      </c>
      <c r="H10" s="101" t="n">
        <f aca="false">IF(COUNTIFS(CALCUL_NOTE!C$20:C$99,A10,CALCUL_NOTE!A$20:A$99,"FRA_CROATIE_M1")=0,"-",SUMIFS(CALCUL_NOTE!L$20:L$99,CALCUL_NOTE!C$20:C$99,A10,CALCUL_NOTE!A$20:A$99,"FRA_CROATIE_M1"))</f>
        <v>19.95</v>
      </c>
      <c r="I10" s="101" t="n">
        <f aca="false">IF(COUNTIFS(CALCUL_NOTE!C$20:C$99,A10,CALCUL_NOTE!A$20:A$99,"FRA_CROATIE_M2")=0,"-",SUMIFS(CALCUL_NOTE!L$20:L$99,CALCUL_NOTE!C$20:C$99,A10,CALCUL_NOTE!A$20:A$99,"FRA_CROATIE_M2"))</f>
        <v>20</v>
      </c>
      <c r="J10" s="101" t="str">
        <f aca="false">IF(COUNTIFS(CALCUL_NOTE!C$20:C$99,A10,CALCUL_NOTE!A$20:A$99,"FRA_PORTUGAL_M1")=0,"-",SUMIFS(CALCUL_NOTE!L$20:L$99,CALCUL_NOTE!C$20:C$99,A10,CALCUL_NOTE!A$20:A$99,"FRA_PORTUGAL_M1"))</f>
        <v>-</v>
      </c>
      <c r="K10" s="101" t="str">
        <f aca="false">IF(COUNTIFS(CALCUL_NOTE!C$20:C$99,A10,CALCUL_NOTE!A$20:A$99,"FRA_PORTUGAL_M2")=0,"-",SUMIFS(CALCUL_NOTE!L$20:L$99,CALCUL_NOTE!C$20:C$99,A10,CALCUL_NOTE!A$20:A$99,"FRA_PORTUGAL_M2"))</f>
        <v>-</v>
      </c>
    </row>
    <row r="11" customFormat="false" ht="24.7" hidden="false" customHeight="true" outlineLevel="0" collapsed="false">
      <c r="A11" s="98" t="s">
        <v>126</v>
      </c>
      <c r="B11" s="98" t="str">
        <f aca="false">IFERROR(VLOOKUP(A11,CALCUL_NOTE!C:D,2,0),"")</f>
        <v>Pivot</v>
      </c>
      <c r="C11" s="98" t="n">
        <f aca="false">COUNTIF(CALCUL_NOTE!C$20:C$99,A11)</f>
        <v>2</v>
      </c>
      <c r="D11" s="99" t="n">
        <f aca="false">SUMIF(CALCUL_NOTE!C$20:C$99,A11,CALCUL_NOTE!E$20:E$99)</f>
        <v>23.5</v>
      </c>
      <c r="E11" s="100" t="n">
        <f aca="false">IFERROR(AVERAGEIF(CALCUL_NOTE!C$20:C$99,A11,CALCUL_NOTE!L$20:L$99),"")</f>
        <v>15.525</v>
      </c>
      <c r="F11" s="101" t="n">
        <f aca="false">IFERROR(MAX(H11:K11),"")</f>
        <v>18.6</v>
      </c>
      <c r="G11" s="101" t="n">
        <f aca="false">IFERROR(MIN(H11:K11),"")</f>
        <v>12.45</v>
      </c>
      <c r="H11" s="101" t="n">
        <f aca="false">IF(COUNTIFS(CALCUL_NOTE!C$20:C$99,A11,CALCUL_NOTE!A$20:A$99,"FRA_CROATIE_M1")=0,"-",SUMIFS(CALCUL_NOTE!L$20:L$99,CALCUL_NOTE!C$20:C$99,A11,CALCUL_NOTE!A$20:A$99,"FRA_CROATIE_M1"))</f>
        <v>18.6</v>
      </c>
      <c r="I11" s="101" t="n">
        <f aca="false">IF(COUNTIFS(CALCUL_NOTE!C$20:C$99,A11,CALCUL_NOTE!A$20:A$99,"FRA_CROATIE_M2")=0,"-",SUMIFS(CALCUL_NOTE!L$20:L$99,CALCUL_NOTE!C$20:C$99,A11,CALCUL_NOTE!A$20:A$99,"FRA_CROATIE_M2"))</f>
        <v>12.45</v>
      </c>
      <c r="J11" s="101" t="str">
        <f aca="false">IF(COUNTIFS(CALCUL_NOTE!C$20:C$99,A11,CALCUL_NOTE!A$20:A$99,"FRA_PORTUGAL_M1")=0,"-",SUMIFS(CALCUL_NOTE!L$20:L$99,CALCUL_NOTE!C$20:C$99,A11,CALCUL_NOTE!A$20:A$99,"FRA_PORTUGAL_M1"))</f>
        <v>-</v>
      </c>
      <c r="K11" s="101" t="str">
        <f aca="false">IF(COUNTIFS(CALCUL_NOTE!C$20:C$99,A11,CALCUL_NOTE!A$20:A$99,"FRA_PORTUGAL_M2")=0,"-",SUMIFS(CALCUL_NOTE!L$20:L$99,CALCUL_NOTE!C$20:C$99,A11,CALCUL_NOTE!A$20:A$99,"FRA_PORTUGAL_M2"))</f>
        <v>-</v>
      </c>
    </row>
    <row r="12" customFormat="false" ht="24.7" hidden="false" customHeight="true" outlineLevel="0" collapsed="false">
      <c r="A12" s="102" t="s">
        <v>179</v>
      </c>
      <c r="B12" s="98" t="str">
        <f aca="false">IFERROR(VLOOKUP(A12,CALCUL_NOTE!C:D,2,0),"")</f>
        <v>Gardien</v>
      </c>
      <c r="C12" s="98" t="n">
        <f aca="false">COUNTIF(CALCUL_NOTE!C$20:C$99,A12)</f>
        <v>3</v>
      </c>
      <c r="D12" s="99" t="n">
        <f aca="false">SUMIF(CALCUL_NOTE!C$20:C$99,A12,CALCUL_NOTE!E$20:E$99)</f>
        <v>64.9667</v>
      </c>
      <c r="E12" s="100" t="n">
        <f aca="false">IFERROR(AVERAGEIF(CALCUL_NOTE!C$20:C$99,A12,CALCUL_NOTE!L$20:L$99),"")</f>
        <v>17.0833333333333</v>
      </c>
      <c r="F12" s="101" t="n">
        <f aca="false">IFERROR(MAX(H12:K12),"")</f>
        <v>20</v>
      </c>
      <c r="G12" s="101" t="n">
        <f aca="false">IFERROR(MIN(H12:K12),"")</f>
        <v>14.2</v>
      </c>
      <c r="H12" s="101" t="n">
        <f aca="false">IF(COUNTIFS(CALCUL_NOTE!C$20:C$99,A12,CALCUL_NOTE!A$20:A$99,"FRA_CROATIE_M1")=0,"-",SUMIFS(CALCUL_NOTE!L$20:L$99,CALCUL_NOTE!C$20:C$99,A12,CALCUL_NOTE!A$20:A$99,"FRA_CROATIE_M1"))</f>
        <v>20</v>
      </c>
      <c r="I12" s="101" t="str">
        <f aca="false">IF(COUNTIFS(CALCUL_NOTE!C$20:C$99,A12,CALCUL_NOTE!A$20:A$99,"FRA_CROATIE_M2")=0,"-",SUMIFS(CALCUL_NOTE!L$20:L$99,CALCUL_NOTE!C$20:C$99,A12,CALCUL_NOTE!A$20:A$99,"FRA_CROATIE_M2"))</f>
        <v>-</v>
      </c>
      <c r="J12" s="101" t="n">
        <f aca="false">IF(COUNTIFS(CALCUL_NOTE!C$20:C$99,A12,CALCUL_NOTE!A$20:A$99,"FRA_PORTUGAL_M1")=0,"-",SUMIFS(CALCUL_NOTE!L$20:L$99,CALCUL_NOTE!C$20:C$99,A12,CALCUL_NOTE!A$20:A$99,"FRA_PORTUGAL_M1"))</f>
        <v>17.05</v>
      </c>
      <c r="K12" s="101" t="n">
        <f aca="false">IF(COUNTIFS(CALCUL_NOTE!C$20:C$99,A12,CALCUL_NOTE!A$20:A$99,"FRA_PORTUGAL_M2")=0,"-",SUMIFS(CALCUL_NOTE!L$20:L$99,CALCUL_NOTE!C$20:C$99,A12,CALCUL_NOTE!A$20:A$99,"FRA_PORTUGAL_M2"))</f>
        <v>14.2</v>
      </c>
    </row>
    <row r="13" customFormat="false" ht="24.7" hidden="false" customHeight="true" outlineLevel="0" collapsed="false">
      <c r="A13" s="98" t="s">
        <v>33</v>
      </c>
      <c r="B13" s="98" t="str">
        <f aca="false">IFERROR(VLOOKUP(A13,CALCUL_NOTE!C:D,2,0),"")</f>
        <v>Ailier</v>
      </c>
      <c r="C13" s="98" t="n">
        <f aca="false">COUNTIF(CALCUL_NOTE!C$20:C$99,A13)</f>
        <v>4</v>
      </c>
      <c r="D13" s="99" t="n">
        <f aca="false">SUMIF(CALCUL_NOTE!C$20:C$99,A13,CALCUL_NOTE!E$20:E$99)</f>
        <v>41.9333</v>
      </c>
      <c r="E13" s="100" t="n">
        <f aca="false">IFERROR(AVERAGEIF(CALCUL_NOTE!C$20:C$99,A13,CALCUL_NOTE!L$20:L$99),"")</f>
        <v>14.4625</v>
      </c>
      <c r="F13" s="101" t="n">
        <f aca="false">IFERROR(MAX(H13:K13),"")</f>
        <v>18.25</v>
      </c>
      <c r="G13" s="101" t="n">
        <f aca="false">IFERROR(MIN(H13:K13),"")</f>
        <v>12</v>
      </c>
      <c r="H13" s="101" t="n">
        <f aca="false">IF(COUNTIFS(CALCUL_NOTE!C$20:C$99,A13,CALCUL_NOTE!A$20:A$99,"FRA_CROATIE_M1")=0,"-",SUMIFS(CALCUL_NOTE!L$20:L$99,CALCUL_NOTE!C$20:C$99,A13,CALCUL_NOTE!A$20:A$99,"FRA_CROATIE_M1"))</f>
        <v>15.25</v>
      </c>
      <c r="I13" s="101" t="n">
        <f aca="false">IF(COUNTIFS(CALCUL_NOTE!C$20:C$99,A13,CALCUL_NOTE!A$20:A$99,"FRA_CROATIE_M2")=0,"-",SUMIFS(CALCUL_NOTE!L$20:L$99,CALCUL_NOTE!C$20:C$99,A13,CALCUL_NOTE!A$20:A$99,"FRA_CROATIE_M2"))</f>
        <v>12</v>
      </c>
      <c r="J13" s="101" t="n">
        <f aca="false">IF(COUNTIFS(CALCUL_NOTE!C$20:C$99,A13,CALCUL_NOTE!A$20:A$99,"FRA_PORTUGAL_M1")=0,"-",SUMIFS(CALCUL_NOTE!L$20:L$99,CALCUL_NOTE!C$20:C$99,A13,CALCUL_NOTE!A$20:A$99,"FRA_PORTUGAL_M1"))</f>
        <v>12.35</v>
      </c>
      <c r="K13" s="101" t="n">
        <f aca="false">IF(COUNTIFS(CALCUL_NOTE!C$20:C$99,A13,CALCUL_NOTE!A$20:A$99,"FRA_PORTUGAL_M2")=0,"-",SUMIFS(CALCUL_NOTE!L$20:L$99,CALCUL_NOTE!C$20:C$99,A13,CALCUL_NOTE!A$20:A$99,"FRA_PORTUGAL_M2"))</f>
        <v>18.25</v>
      </c>
    </row>
    <row r="14" customFormat="false" ht="24.7" hidden="false" customHeight="true" outlineLevel="0" collapsed="false">
      <c r="A14" s="102" t="s">
        <v>119</v>
      </c>
      <c r="B14" s="98" t="str">
        <f aca="false">IFERROR(VLOOKUP(A14,CALCUL_NOTE!C:D,2,0),"")</f>
        <v>Meneur</v>
      </c>
      <c r="C14" s="98" t="n">
        <f aca="false">COUNTIF(CALCUL_NOTE!C$20:C$99,A14)</f>
        <v>2</v>
      </c>
      <c r="D14" s="99" t="n">
        <f aca="false">SUMIF(CALCUL_NOTE!C$20:C$99,A14,CALCUL_NOTE!E$20:E$99)</f>
        <v>21.5</v>
      </c>
      <c r="E14" s="100" t="n">
        <f aca="false">IFERROR(AVERAGEIF(CALCUL_NOTE!C$20:C$99,A14,CALCUL_NOTE!L$20:L$99),"")</f>
        <v>14.15</v>
      </c>
      <c r="F14" s="101" t="n">
        <f aca="false">IFERROR(MAX(H14:K14),"")</f>
        <v>14.35</v>
      </c>
      <c r="G14" s="101" t="n">
        <f aca="false">IFERROR(MIN(H14:K14),"")</f>
        <v>13.95</v>
      </c>
      <c r="H14" s="101" t="n">
        <f aca="false">IF(COUNTIFS(CALCUL_NOTE!C$20:C$99,A14,CALCUL_NOTE!A$20:A$99,"FRA_CROATIE_M1")=0,"-",SUMIFS(CALCUL_NOTE!L$20:L$99,CALCUL_NOTE!C$20:C$99,A14,CALCUL_NOTE!A$20:A$99,"FRA_CROATIE_M1"))</f>
        <v>14.35</v>
      </c>
      <c r="I14" s="101" t="n">
        <f aca="false">IF(COUNTIFS(CALCUL_NOTE!C$20:C$99,A14,CALCUL_NOTE!A$20:A$99,"FRA_CROATIE_M2")=0,"-",SUMIFS(CALCUL_NOTE!L$20:L$99,CALCUL_NOTE!C$20:C$99,A14,CALCUL_NOTE!A$20:A$99,"FRA_CROATIE_M2"))</f>
        <v>13.95</v>
      </c>
      <c r="J14" s="101" t="str">
        <f aca="false">IF(COUNTIFS(CALCUL_NOTE!C$20:C$99,A14,CALCUL_NOTE!A$20:A$99,"FRA_PORTUGAL_M1")=0,"-",SUMIFS(CALCUL_NOTE!L$20:L$99,CALCUL_NOTE!C$20:C$99,A14,CALCUL_NOTE!A$20:A$99,"FRA_PORTUGAL_M1"))</f>
        <v>-</v>
      </c>
      <c r="K14" s="101" t="str">
        <f aca="false">IF(COUNTIFS(CALCUL_NOTE!C$20:C$99,A14,CALCUL_NOTE!A$20:A$99,"FRA_PORTUGAL_M2")=0,"-",SUMIFS(CALCUL_NOTE!L$20:L$99,CALCUL_NOTE!C$20:C$99,A14,CALCUL_NOTE!A$20:A$99,"FRA_PORTUGAL_M2"))</f>
        <v>-</v>
      </c>
    </row>
    <row r="15" customFormat="false" ht="24.7" hidden="false" customHeight="true" outlineLevel="0" collapsed="false">
      <c r="A15" s="98" t="s">
        <v>28</v>
      </c>
      <c r="B15" s="98" t="str">
        <f aca="false">IFERROR(VLOOKUP(A15,CALCUL_NOTE!C:D,2,0),"")</f>
        <v>Meneur</v>
      </c>
      <c r="C15" s="98" t="n">
        <f aca="false">COUNTIF(CALCUL_NOTE!C$20:C$99,A15)</f>
        <v>4</v>
      </c>
      <c r="D15" s="99" t="n">
        <f aca="false">SUMIF(CALCUL_NOTE!C$20:C$99,A15,CALCUL_NOTE!E$20:E$99)</f>
        <v>41.6667</v>
      </c>
      <c r="E15" s="100" t="n">
        <f aca="false">IFERROR(AVERAGEIF(CALCUL_NOTE!C$20:C$99,A15,CALCUL_NOTE!L$20:L$99),"")</f>
        <v>14.125</v>
      </c>
      <c r="F15" s="101" t="n">
        <f aca="false">IFERROR(MAX(H15:K15),"")</f>
        <v>16.45</v>
      </c>
      <c r="G15" s="101" t="n">
        <f aca="false">IFERROR(MIN(H15:K15),"")</f>
        <v>11.95</v>
      </c>
      <c r="H15" s="101" t="n">
        <f aca="false">IF(COUNTIFS(CALCUL_NOTE!C$20:C$99,A15,CALCUL_NOTE!A$20:A$99,"FRA_CROATIE_M1")=0,"-",SUMIFS(CALCUL_NOTE!L$20:L$99,CALCUL_NOTE!C$20:C$99,A15,CALCUL_NOTE!A$20:A$99,"FRA_CROATIE_M1"))</f>
        <v>12.75</v>
      </c>
      <c r="I15" s="101" t="n">
        <f aca="false">IF(COUNTIFS(CALCUL_NOTE!C$20:C$99,A15,CALCUL_NOTE!A$20:A$99,"FRA_CROATIE_M2")=0,"-",SUMIFS(CALCUL_NOTE!L$20:L$99,CALCUL_NOTE!C$20:C$99,A15,CALCUL_NOTE!A$20:A$99,"FRA_CROATIE_M2"))</f>
        <v>15.35</v>
      </c>
      <c r="J15" s="101" t="n">
        <f aca="false">IF(COUNTIFS(CALCUL_NOTE!C$20:C$99,A15,CALCUL_NOTE!A$20:A$99,"FRA_PORTUGAL_M1")=0,"-",SUMIFS(CALCUL_NOTE!L$20:L$99,CALCUL_NOTE!C$20:C$99,A15,CALCUL_NOTE!A$20:A$99,"FRA_PORTUGAL_M1"))</f>
        <v>11.95</v>
      </c>
      <c r="K15" s="101" t="n">
        <f aca="false">IF(COUNTIFS(CALCUL_NOTE!C$20:C$99,A15,CALCUL_NOTE!A$20:A$99,"FRA_PORTUGAL_M2")=0,"-",SUMIFS(CALCUL_NOTE!L$20:L$99,CALCUL_NOTE!C$20:C$99,A15,CALCUL_NOTE!A$20:A$99,"FRA_PORTUGAL_M2"))</f>
        <v>16.45</v>
      </c>
    </row>
    <row r="16" customFormat="false" ht="24.7" hidden="false" customHeight="true" outlineLevel="0" collapsed="false">
      <c r="A16" s="102" t="s">
        <v>115</v>
      </c>
      <c r="B16" s="98" t="str">
        <f aca="false">IFERROR(VLOOKUP(A16,CALCUL_NOTE!C:D,2,0),"")</f>
        <v>Pivot</v>
      </c>
      <c r="C16" s="98" t="n">
        <f aca="false">COUNTIF(CALCUL_NOTE!C$20:C$99,A16)</f>
        <v>4</v>
      </c>
      <c r="D16" s="99" t="n">
        <f aca="false">SUMIF(CALCUL_NOTE!C$20:C$99,A16,CALCUL_NOTE!E$20:E$99)</f>
        <v>54.5</v>
      </c>
      <c r="E16" s="100" t="n">
        <f aca="false">IFERROR(AVERAGEIF(CALCUL_NOTE!C$20:C$99,A16,CALCUL_NOTE!L$20:L$99),"")</f>
        <v>14.1875</v>
      </c>
      <c r="F16" s="101" t="n">
        <f aca="false">IFERROR(MAX(H16:K16),"")</f>
        <v>16.45</v>
      </c>
      <c r="G16" s="101" t="n">
        <f aca="false">IFERROR(MIN(H16:K16),"")</f>
        <v>10.75</v>
      </c>
      <c r="H16" s="101" t="n">
        <f aca="false">IF(COUNTIFS(CALCUL_NOTE!C$20:C$99,A16,CALCUL_NOTE!A$20:A$99,"FRA_CROATIE_M1")=0,"-",SUMIFS(CALCUL_NOTE!L$20:L$99,CALCUL_NOTE!C$20:C$99,A16,CALCUL_NOTE!A$20:A$99,"FRA_CROATIE_M1"))</f>
        <v>14.35</v>
      </c>
      <c r="I16" s="101" t="n">
        <f aca="false">IF(COUNTIFS(CALCUL_NOTE!C$20:C$99,A16,CALCUL_NOTE!A$20:A$99,"FRA_CROATIE_M2")=0,"-",SUMIFS(CALCUL_NOTE!L$20:L$99,CALCUL_NOTE!C$20:C$99,A16,CALCUL_NOTE!A$20:A$99,"FRA_CROATIE_M2"))</f>
        <v>10.75</v>
      </c>
      <c r="J16" s="101" t="n">
        <f aca="false">IF(COUNTIFS(CALCUL_NOTE!C$20:C$99,A16,CALCUL_NOTE!A$20:A$99,"FRA_PORTUGAL_M1")=0,"-",SUMIFS(CALCUL_NOTE!L$20:L$99,CALCUL_NOTE!C$20:C$99,A16,CALCUL_NOTE!A$20:A$99,"FRA_PORTUGAL_M1"))</f>
        <v>15.2</v>
      </c>
      <c r="K16" s="101" t="n">
        <f aca="false">IF(COUNTIFS(CALCUL_NOTE!C$20:C$99,A16,CALCUL_NOTE!A$20:A$99,"FRA_PORTUGAL_M2")=0,"-",SUMIFS(CALCUL_NOTE!L$20:L$99,CALCUL_NOTE!C$20:C$99,A16,CALCUL_NOTE!A$20:A$99,"FRA_PORTUGAL_M2"))</f>
        <v>16.45</v>
      </c>
    </row>
    <row r="17" customFormat="false" ht="24.7" hidden="false" customHeight="true" outlineLevel="0" collapsed="false">
      <c r="A17" s="98" t="s">
        <v>213</v>
      </c>
      <c r="B17" s="98" t="str">
        <f aca="false">IFERROR(VLOOKUP(A17,CALCUL_NOTE!C:D,2,0),"")</f>
        <v>Gardien</v>
      </c>
      <c r="C17" s="98" t="n">
        <f aca="false">COUNTIF(CALCUL_NOTE!C$20:C$99,A17)</f>
        <v>1</v>
      </c>
      <c r="D17" s="99" t="n">
        <f aca="false">SUMIF(CALCUL_NOTE!C$20:C$99,A17,CALCUL_NOTE!E$20:E$99)</f>
        <v>20</v>
      </c>
      <c r="E17" s="100" t="n">
        <f aca="false">IFERROR(AVERAGEIF(CALCUL_NOTE!C$20:C$99,A17,CALCUL_NOTE!L$20:L$99),"")</f>
        <v>14</v>
      </c>
      <c r="F17" s="101" t="n">
        <f aca="false">IFERROR(MAX(H17:K17),"")</f>
        <v>14</v>
      </c>
      <c r="G17" s="101" t="n">
        <f aca="false">IFERROR(MIN(H17:K17),"")</f>
        <v>14</v>
      </c>
      <c r="H17" s="101" t="str">
        <f aca="false">IF(COUNTIFS(CALCUL_NOTE!C$20:C$99,A17,CALCUL_NOTE!A$20:A$99,"FRA_CROATIE_M1")=0,"-",SUMIFS(CALCUL_NOTE!L$20:L$99,CALCUL_NOTE!C$20:C$99,A17,CALCUL_NOTE!A$20:A$99,"FRA_CROATIE_M1"))</f>
        <v>-</v>
      </c>
      <c r="I17" s="101" t="n">
        <f aca="false">IF(COUNTIFS(CALCUL_NOTE!C$20:C$99,A17,CALCUL_NOTE!A$20:A$99,"FRA_CROATIE_M2")=0,"-",SUMIFS(CALCUL_NOTE!L$20:L$99,CALCUL_NOTE!C$20:C$99,A17,CALCUL_NOTE!A$20:A$99,"FRA_CROATIE_M2"))</f>
        <v>14</v>
      </c>
      <c r="J17" s="101" t="str">
        <f aca="false">IF(COUNTIFS(CALCUL_NOTE!C$20:C$99,A17,CALCUL_NOTE!A$20:A$99,"FRA_PORTUGAL_M1")=0,"-",SUMIFS(CALCUL_NOTE!L$20:L$99,CALCUL_NOTE!C$20:C$99,A17,CALCUL_NOTE!A$20:A$99,"FRA_PORTUGAL_M1"))</f>
        <v>-</v>
      </c>
      <c r="K17" s="101" t="str">
        <f aca="false">IF(COUNTIFS(CALCUL_NOTE!C$20:C$99,A17,CALCUL_NOTE!A$20:A$99,"FRA_PORTUGAL_M2")=0,"-",SUMIFS(CALCUL_NOTE!L$20:L$99,CALCUL_NOTE!C$20:C$99,A17,CALCUL_NOTE!A$20:A$99,"FRA_PORTUGAL_M2"))</f>
        <v>-</v>
      </c>
    </row>
    <row r="18" customFormat="false" ht="24.7" hidden="false" customHeight="true" outlineLevel="0" collapsed="false">
      <c r="A18" s="102" t="s">
        <v>214</v>
      </c>
      <c r="B18" s="98" t="str">
        <f aca="false">IFERROR(VLOOKUP(A18,CALCUL_NOTE!C:D,2,0),"")</f>
        <v>Gardien</v>
      </c>
      <c r="C18" s="98" t="n">
        <f aca="false">COUNTIF(CALCUL_NOTE!C$20:C$99,A18)</f>
        <v>1</v>
      </c>
      <c r="D18" s="99" t="n">
        <f aca="false">SUMIF(CALCUL_NOTE!C$20:C$99,A18,CALCUL_NOTE!E$20:E$99)</f>
        <v>20</v>
      </c>
      <c r="E18" s="100" t="n">
        <f aca="false">IFERROR(AVERAGEIF(CALCUL_NOTE!C$20:C$99,A18,CALCUL_NOTE!L$20:L$99),"")</f>
        <v>13</v>
      </c>
      <c r="F18" s="101" t="n">
        <f aca="false">IFERROR(MAX(H18:K18),"")</f>
        <v>13</v>
      </c>
      <c r="G18" s="101" t="n">
        <f aca="false">IFERROR(MIN(H18:K18),"")</f>
        <v>13</v>
      </c>
      <c r="H18" s="101" t="str">
        <f aca="false">IF(COUNTIFS(CALCUL_NOTE!C$20:C$99,A18,CALCUL_NOTE!A$20:A$99,"FRA_CROATIE_M1")=0,"-",SUMIFS(CALCUL_NOTE!L$20:L$99,CALCUL_NOTE!C$20:C$99,A18,CALCUL_NOTE!A$20:A$99,"FRA_CROATIE_M1"))</f>
        <v>-</v>
      </c>
      <c r="I18" s="101" t="n">
        <f aca="false">IF(COUNTIFS(CALCUL_NOTE!C$20:C$99,A18,CALCUL_NOTE!A$20:A$99,"FRA_CROATIE_M2")=0,"-",SUMIFS(CALCUL_NOTE!L$20:L$99,CALCUL_NOTE!C$20:C$99,A18,CALCUL_NOTE!A$20:A$99,"FRA_CROATIE_M2"))</f>
        <v>13</v>
      </c>
      <c r="J18" s="101" t="str">
        <f aca="false">IF(COUNTIFS(CALCUL_NOTE!C$20:C$99,A18,CALCUL_NOTE!A$20:A$99,"FRA_PORTUGAL_M1")=0,"-",SUMIFS(CALCUL_NOTE!L$20:L$99,CALCUL_NOTE!C$20:C$99,A18,CALCUL_NOTE!A$20:A$99,"FRA_PORTUGAL_M1"))</f>
        <v>-</v>
      </c>
      <c r="K18" s="101" t="str">
        <f aca="false">IF(COUNTIFS(CALCUL_NOTE!C$20:C$99,A18,CALCUL_NOTE!A$20:A$99,"FRA_PORTUGAL_M2")=0,"-",SUMIFS(CALCUL_NOTE!L$20:L$99,CALCUL_NOTE!C$20:C$99,A18,CALCUL_NOTE!A$20:A$99,"FRA_PORTUGAL_M2"))</f>
        <v>-</v>
      </c>
    </row>
    <row r="19" customFormat="false" ht="24.7" hidden="false" customHeight="true" outlineLevel="0" collapsed="false">
      <c r="A19" s="98" t="s">
        <v>127</v>
      </c>
      <c r="B19" s="98" t="str">
        <f aca="false">IFERROR(VLOOKUP(A19,CALCUL_NOTE!C:D,2,0),"")</f>
        <v>Pivot</v>
      </c>
      <c r="C19" s="98" t="n">
        <f aca="false">COUNTIF(CALCUL_NOTE!C$20:C$99,A19)</f>
        <v>1</v>
      </c>
      <c r="D19" s="99" t="n">
        <f aca="false">SUMIF(CALCUL_NOTE!C$20:C$99,A19,CALCUL_NOTE!E$20:E$99)</f>
        <v>10.5</v>
      </c>
      <c r="E19" s="100" t="n">
        <f aca="false">IFERROR(AVERAGEIF(CALCUL_NOTE!C$20:C$99,A19,CALCUL_NOTE!L$20:L$99),"")</f>
        <v>11.6</v>
      </c>
      <c r="F19" s="101" t="n">
        <f aca="false">IFERROR(MAX(H19:K19),"")</f>
        <v>11.6</v>
      </c>
      <c r="G19" s="101" t="n">
        <f aca="false">IFERROR(MIN(H19:K19),"")</f>
        <v>11.6</v>
      </c>
      <c r="H19" s="101" t="str">
        <f aca="false">IF(COUNTIFS(CALCUL_NOTE!C$20:C$99,A19,CALCUL_NOTE!A$20:A$99,"FRA_CROATIE_M1")=0,"-",SUMIFS(CALCUL_NOTE!L$20:L$99,CALCUL_NOTE!C$20:C$99,A19,CALCUL_NOTE!A$20:A$99,"FRA_CROATIE_M1"))</f>
        <v>-</v>
      </c>
      <c r="I19" s="101" t="n">
        <f aca="false">IF(COUNTIFS(CALCUL_NOTE!C$20:C$99,A19,CALCUL_NOTE!A$20:A$99,"FRA_CROATIE_M2")=0,"-",SUMIFS(CALCUL_NOTE!L$20:L$99,CALCUL_NOTE!C$20:C$99,A19,CALCUL_NOTE!A$20:A$99,"FRA_CROATIE_M2"))</f>
        <v>11.6</v>
      </c>
      <c r="J19" s="101" t="str">
        <f aca="false">IF(COUNTIFS(CALCUL_NOTE!C$20:C$99,A19,CALCUL_NOTE!A$20:A$99,"FRA_PORTUGAL_M1")=0,"-",SUMIFS(CALCUL_NOTE!L$20:L$99,CALCUL_NOTE!C$20:C$99,A19,CALCUL_NOTE!A$20:A$99,"FRA_PORTUGAL_M1"))</f>
        <v>-</v>
      </c>
      <c r="K19" s="101" t="str">
        <f aca="false">IF(COUNTIFS(CALCUL_NOTE!C$20:C$99,A19,CALCUL_NOTE!A$20:A$99,"FRA_PORTUGAL_M2")=0,"-",SUMIFS(CALCUL_NOTE!L$20:L$99,CALCUL_NOTE!C$20:C$99,A19,CALCUL_NOTE!A$20:A$99,"FRA_PORTUGAL_M2"))</f>
        <v>-</v>
      </c>
    </row>
    <row r="20" customFormat="false" ht="24.7" hidden="false" customHeight="true" outlineLevel="0" collapsed="false">
      <c r="A20" s="102" t="s">
        <v>125</v>
      </c>
      <c r="B20" s="98" t="str">
        <f aca="false">IFERROR(VLOOKUP(A20,CALCUL_NOTE!C:D,2,0),"")</f>
        <v>Ailier</v>
      </c>
      <c r="C20" s="98" t="n">
        <f aca="false">COUNTIF(CALCUL_NOTE!C$20:C$99,A20)</f>
        <v>2</v>
      </c>
      <c r="D20" s="99" t="n">
        <f aca="false">SUMIF(CALCUL_NOTE!C$20:C$99,A20,CALCUL_NOTE!E$20:E$99)</f>
        <v>18.9167</v>
      </c>
      <c r="E20" s="100" t="n">
        <f aca="false">IFERROR(AVERAGEIF(CALCUL_NOTE!C$20:C$99,A20,CALCUL_NOTE!L$20:L$99),"")</f>
        <v>10.975</v>
      </c>
      <c r="F20" s="101" t="n">
        <f aca="false">IFERROR(MAX(H20:K20),"")</f>
        <v>12.2</v>
      </c>
      <c r="G20" s="101" t="n">
        <f aca="false">IFERROR(MIN(H20:K20),"")</f>
        <v>9.75</v>
      </c>
      <c r="H20" s="101" t="str">
        <f aca="false">IF(COUNTIFS(CALCUL_NOTE!C$20:C$99,A20,CALCUL_NOTE!A$20:A$99,"FRA_CROATIE_M1")=0,"-",SUMIFS(CALCUL_NOTE!L$20:L$99,CALCUL_NOTE!C$20:C$99,A20,CALCUL_NOTE!A$20:A$99,"FRA_CROATIE_M1"))</f>
        <v>-</v>
      </c>
      <c r="I20" s="101" t="str">
        <f aca="false">IF(COUNTIFS(CALCUL_NOTE!C$20:C$99,A20,CALCUL_NOTE!A$20:A$99,"FRA_CROATIE_M2")=0,"-",SUMIFS(CALCUL_NOTE!L$20:L$99,CALCUL_NOTE!C$20:C$99,A20,CALCUL_NOTE!A$20:A$99,"FRA_CROATIE_M2"))</f>
        <v>-</v>
      </c>
      <c r="J20" s="101" t="n">
        <f aca="false">IF(COUNTIFS(CALCUL_NOTE!C$20:C$99,A20,CALCUL_NOTE!A$20:A$99,"FRA_PORTUGAL_M1")=0,"-",SUMIFS(CALCUL_NOTE!L$20:L$99,CALCUL_NOTE!C$20:C$99,A20,CALCUL_NOTE!A$20:A$99,"FRA_PORTUGAL_M1"))</f>
        <v>9.75</v>
      </c>
      <c r="K20" s="101" t="n">
        <f aca="false">IF(COUNTIFS(CALCUL_NOTE!C$20:C$99,A20,CALCUL_NOTE!A$20:A$99,"FRA_PORTUGAL_M2")=0,"-",SUMIFS(CALCUL_NOTE!L$20:L$99,CALCUL_NOTE!C$20:C$99,A20,CALCUL_NOTE!A$20:A$99,"FRA_PORTUGAL_M2"))</f>
        <v>12.2</v>
      </c>
    </row>
    <row r="21" customFormat="false" ht="24.7" hidden="false" customHeight="true" outlineLevel="0" collapsed="false">
      <c r="A21" s="98" t="s">
        <v>35</v>
      </c>
      <c r="B21" s="98" t="str">
        <f aca="false">IFERROR(VLOOKUP(A21,CALCUL_NOTE!C:D,2,0),"")</f>
        <v>Meneur</v>
      </c>
      <c r="C21" s="98" t="n">
        <f aca="false">COUNTIF(CALCUL_NOTE!C$20:C$99,A21)</f>
        <v>2</v>
      </c>
      <c r="D21" s="99" t="n">
        <f aca="false">SUMIF(CALCUL_NOTE!C$20:C$99,A21,CALCUL_NOTE!E$20:E$99)</f>
        <v>35.9667</v>
      </c>
      <c r="E21" s="100" t="n">
        <f aca="false">IFERROR(AVERAGEIF(CALCUL_NOTE!C$20:C$99,A21,CALCUL_NOTE!L$20:L$99),"")</f>
        <v>18.4</v>
      </c>
      <c r="F21" s="101" t="n">
        <f aca="false">IFERROR(MAX(H21:K21),"")</f>
        <v>20</v>
      </c>
      <c r="G21" s="101" t="n">
        <f aca="false">IFERROR(MIN(H21:K21),"")</f>
        <v>16.8</v>
      </c>
      <c r="H21" s="101" t="str">
        <f aca="false">IF(COUNTIFS(CALCUL_NOTE!C$20:C$99,A21,CALCUL_NOTE!A$20:A$99,"FRA_CROATIE_M1")=0,"-",SUMIFS(CALCUL_NOTE!L$20:L$99,CALCUL_NOTE!C$20:C$99,A21,CALCUL_NOTE!A$20:A$99,"FRA_CROATIE_M1"))</f>
        <v>-</v>
      </c>
      <c r="I21" s="101" t="str">
        <f aca="false">IF(COUNTIFS(CALCUL_NOTE!C$20:C$99,A21,CALCUL_NOTE!A$20:A$99,"FRA_CROATIE_M2")=0,"-",SUMIFS(CALCUL_NOTE!L$20:L$99,CALCUL_NOTE!C$20:C$99,A21,CALCUL_NOTE!A$20:A$99,"FRA_CROATIE_M2"))</f>
        <v>-</v>
      </c>
      <c r="J21" s="101" t="n">
        <f aca="false">IF(COUNTIFS(CALCUL_NOTE!C$20:C$99,A21,CALCUL_NOTE!A$20:A$99,"FRA_PORTUGAL_M1")=0,"-",SUMIFS(CALCUL_NOTE!L$20:L$99,CALCUL_NOTE!C$20:C$99,A21,CALCUL_NOTE!A$20:A$99,"FRA_PORTUGAL_M1"))</f>
        <v>20</v>
      </c>
      <c r="K21" s="101" t="n">
        <f aca="false">IF(COUNTIFS(CALCUL_NOTE!C$20:C$99,A21,CALCUL_NOTE!A$20:A$99,"FRA_PORTUGAL_M2")=0,"-",SUMIFS(CALCUL_NOTE!L$20:L$99,CALCUL_NOTE!C$20:C$99,A21,CALCUL_NOTE!A$20:A$99,"FRA_PORTUGAL_M2"))</f>
        <v>16.8</v>
      </c>
    </row>
    <row r="22" customFormat="false" ht="24.7" hidden="false" customHeight="true" outlineLevel="0" collapsed="false">
      <c r="A22" s="102" t="s">
        <v>122</v>
      </c>
      <c r="B22" s="98" t="str">
        <f aca="false">IFERROR(VLOOKUP(A22,CALCUL_NOTE!C:D,2,0),"")</f>
        <v>Meneur côté</v>
      </c>
      <c r="C22" s="98" t="n">
        <f aca="false">COUNTIF(CALCUL_NOTE!C$20:C$99,A22)</f>
        <v>2</v>
      </c>
      <c r="D22" s="99" t="n">
        <f aca="false">SUMIF(CALCUL_NOTE!C$20:C$99,A22,CALCUL_NOTE!E$20:E$99)</f>
        <v>20.65</v>
      </c>
      <c r="E22" s="100" t="n">
        <f aca="false">IFERROR(AVERAGEIF(CALCUL_NOTE!C$20:C$99,A22,CALCUL_NOTE!L$20:L$99),"")</f>
        <v>10.625</v>
      </c>
      <c r="F22" s="101" t="n">
        <f aca="false">IFERROR(MAX(H22:K22),"")</f>
        <v>10.75</v>
      </c>
      <c r="G22" s="101" t="n">
        <f aca="false">IFERROR(MIN(H22:K22),"")</f>
        <v>10.5</v>
      </c>
      <c r="H22" s="101" t="str">
        <f aca="false">IF(COUNTIFS(CALCUL_NOTE!C$20:C$99,A22,CALCUL_NOTE!A$20:A$99,"FRA_CROATIE_M1")=0,"-",SUMIFS(CALCUL_NOTE!L$20:L$99,CALCUL_NOTE!C$20:C$99,A22,CALCUL_NOTE!A$20:A$99,"FRA_CROATIE_M1"))</f>
        <v>-</v>
      </c>
      <c r="I22" s="101" t="str">
        <f aca="false">IF(COUNTIFS(CALCUL_NOTE!C$20:C$99,A22,CALCUL_NOTE!A$20:A$99,"FRA_CROATIE_M2")=0,"-",SUMIFS(CALCUL_NOTE!L$20:L$99,CALCUL_NOTE!C$20:C$99,A22,CALCUL_NOTE!A$20:A$99,"FRA_CROATIE_M2"))</f>
        <v>-</v>
      </c>
      <c r="J22" s="101" t="n">
        <f aca="false">IF(COUNTIFS(CALCUL_NOTE!C$20:C$99,A22,CALCUL_NOTE!A$20:A$99,"FRA_PORTUGAL_M1")=0,"-",SUMIFS(CALCUL_NOTE!L$20:L$99,CALCUL_NOTE!C$20:C$99,A22,CALCUL_NOTE!A$20:A$99,"FRA_PORTUGAL_M1"))</f>
        <v>10.5</v>
      </c>
      <c r="K22" s="101" t="n">
        <f aca="false">IF(COUNTIFS(CALCUL_NOTE!C$20:C$99,A22,CALCUL_NOTE!A$20:A$99,"FRA_PORTUGAL_M2")=0,"-",SUMIFS(CALCUL_NOTE!L$20:L$99,CALCUL_NOTE!C$20:C$99,A22,CALCUL_NOTE!A$20:A$99,"FRA_PORTUGAL_M2"))</f>
        <v>10.75</v>
      </c>
    </row>
    <row r="23" customFormat="false" ht="24.7" hidden="false" customHeight="true" outlineLevel="0" collapsed="false">
      <c r="A23" s="98" t="s">
        <v>201</v>
      </c>
      <c r="B23" s="98" t="str">
        <f aca="false">IFERROR(VLOOKUP(A23,CALCUL_NOTE!C:D,2,0),"")</f>
        <v>Gardien</v>
      </c>
      <c r="C23" s="98" t="n">
        <f aca="false">COUNTIF(CALCUL_NOTE!C$20:C$99,A23)</f>
        <v>2</v>
      </c>
      <c r="D23" s="99" t="n">
        <f aca="false">SUMIF(CALCUL_NOTE!C$20:C$99,A23,CALCUL_NOTE!E$20:E$99)</f>
        <v>36.4667</v>
      </c>
      <c r="E23" s="100" t="n">
        <f aca="false">IFERROR(AVERAGEIF(CALCUL_NOTE!C$20:C$99,A23,CALCUL_NOTE!L$20:L$99),"")</f>
        <v>19.175</v>
      </c>
      <c r="F23" s="101" t="n">
        <f aca="false">IFERROR(MAX(H23:K23),"")</f>
        <v>19.2</v>
      </c>
      <c r="G23" s="101" t="n">
        <f aca="false">IFERROR(MIN(H23:K23),"")</f>
        <v>19.15</v>
      </c>
      <c r="H23" s="101" t="str">
        <f aca="false">IF(COUNTIFS(CALCUL_NOTE!C$20:C$99,A23,CALCUL_NOTE!A$20:A$99,"FRA_CROATIE_M1")=0,"-",SUMIFS(CALCUL_NOTE!L$20:L$99,CALCUL_NOTE!C$20:C$99,A23,CALCUL_NOTE!A$20:A$99,"FRA_CROATIE_M1"))</f>
        <v>-</v>
      </c>
      <c r="I23" s="101" t="str">
        <f aca="false">IF(COUNTIFS(CALCUL_NOTE!C$20:C$99,A23,CALCUL_NOTE!A$20:A$99,"FRA_CROATIE_M2")=0,"-",SUMIFS(CALCUL_NOTE!L$20:L$99,CALCUL_NOTE!C$20:C$99,A23,CALCUL_NOTE!A$20:A$99,"FRA_CROATIE_M2"))</f>
        <v>-</v>
      </c>
      <c r="J23" s="101" t="n">
        <f aca="false">IF(COUNTIFS(CALCUL_NOTE!C$20:C$99,A23,CALCUL_NOTE!A$20:A$99,"FRA_PORTUGAL_M1")=0,"-",SUMIFS(CALCUL_NOTE!L$20:L$99,CALCUL_NOTE!C$20:C$99,A23,CALCUL_NOTE!A$20:A$99,"FRA_PORTUGAL_M1"))</f>
        <v>19.15</v>
      </c>
      <c r="K23" s="101" t="n">
        <f aca="false">IF(COUNTIFS(CALCUL_NOTE!C$20:C$99,A23,CALCUL_NOTE!A$20:A$99,"FRA_PORTUGAL_M2")=0,"-",SUMIFS(CALCUL_NOTE!L$20:L$99,CALCUL_NOTE!C$20:C$99,A23,CALCUL_NOTE!A$20:A$99,"FRA_PORTUGAL_M2"))</f>
        <v>19.2</v>
      </c>
    </row>
    <row r="24" customFormat="false" ht="24.7" hidden="false" customHeight="true" outlineLevel="0" collapsed="false">
      <c r="A24" s="102" t="s">
        <v>123</v>
      </c>
      <c r="B24" s="98" t="str">
        <f aca="false">IFERROR(VLOOKUP(A24,CALCUL_NOTE!C:D,2,0),"")</f>
        <v>Meneur</v>
      </c>
      <c r="C24" s="98" t="n">
        <f aca="false">COUNTIF(CALCUL_NOTE!C$20:C$99,A24)</f>
        <v>2</v>
      </c>
      <c r="D24" s="99" t="n">
        <f aca="false">SUMIF(CALCUL_NOTE!C$20:C$99,A24,CALCUL_NOTE!E$20:E$99)</f>
        <v>11.8667</v>
      </c>
      <c r="E24" s="100" t="n">
        <f aca="false">IFERROR(AVERAGEIF(CALCUL_NOTE!C$20:C$99,A24,CALCUL_NOTE!L$20:L$99),"")</f>
        <v>10.75</v>
      </c>
      <c r="F24" s="101" t="n">
        <f aca="false">IFERROR(MAX(H24:K24),"")</f>
        <v>11.5</v>
      </c>
      <c r="G24" s="101" t="n">
        <f aca="false">IFERROR(MIN(H24:K24),"")</f>
        <v>10</v>
      </c>
      <c r="H24" s="101" t="str">
        <f aca="false">IF(COUNTIFS(CALCUL_NOTE!C$20:C$99,A24,CALCUL_NOTE!A$20:A$99,"FRA_CROATIE_M1")=0,"-",SUMIFS(CALCUL_NOTE!L$20:L$99,CALCUL_NOTE!C$20:C$99,A24,CALCUL_NOTE!A$20:A$99,"FRA_CROATIE_M1"))</f>
        <v>-</v>
      </c>
      <c r="I24" s="101" t="str">
        <f aca="false">IF(COUNTIFS(CALCUL_NOTE!C$20:C$99,A24,CALCUL_NOTE!A$20:A$99,"FRA_CROATIE_M2")=0,"-",SUMIFS(CALCUL_NOTE!L$20:L$99,CALCUL_NOTE!C$20:C$99,A24,CALCUL_NOTE!A$20:A$99,"FRA_CROATIE_M2"))</f>
        <v>-</v>
      </c>
      <c r="J24" s="101" t="n">
        <f aca="false">IF(COUNTIFS(CALCUL_NOTE!C$20:C$99,A24,CALCUL_NOTE!A$20:A$99,"FRA_PORTUGAL_M1")=0,"-",SUMIFS(CALCUL_NOTE!L$20:L$99,CALCUL_NOTE!C$20:C$99,A24,CALCUL_NOTE!A$20:A$99,"FRA_PORTUGAL_M1"))</f>
        <v>11.5</v>
      </c>
      <c r="K24" s="101" t="n">
        <f aca="false">IF(COUNTIFS(CALCUL_NOTE!C$20:C$99,A24,CALCUL_NOTE!A$20:A$99,"FRA_PORTUGAL_M2")=0,"-",SUMIFS(CALCUL_NOTE!L$20:L$99,CALCUL_NOTE!C$20:C$99,A24,CALCUL_NOTE!A$20:A$99,"FRA_PORTUGAL_M2"))</f>
        <v>10</v>
      </c>
    </row>
    <row r="25" customFormat="false" ht="24.7" hidden="false" customHeight="true" outlineLevel="0" collapsed="false">
      <c r="A25" s="98" t="s">
        <v>124</v>
      </c>
      <c r="B25" s="98" t="str">
        <f aca="false">IFERROR(VLOOKUP(A25,CALCUL_NOTE!C:D,2,0),"")</f>
        <v>Pivot</v>
      </c>
      <c r="C25" s="98" t="n">
        <f aca="false">COUNTIF(CALCUL_NOTE!C$20:C$99,A25)</f>
        <v>2</v>
      </c>
      <c r="D25" s="99" t="n">
        <f aca="false">SUMIF(CALCUL_NOTE!C$20:C$99,A25,CALCUL_NOTE!E$20:E$99)</f>
        <v>26.0833</v>
      </c>
      <c r="E25" s="100" t="n">
        <f aca="false">IFERROR(AVERAGEIF(CALCUL_NOTE!C$20:C$99,A25,CALCUL_NOTE!L$20:L$99),"")</f>
        <v>11.65</v>
      </c>
      <c r="F25" s="101" t="n">
        <f aca="false">IFERROR(MAX(H25:K25),"")</f>
        <v>12.55</v>
      </c>
      <c r="G25" s="101" t="n">
        <f aca="false">IFERROR(MIN(H25:K25),"")</f>
        <v>10.75</v>
      </c>
      <c r="H25" s="101" t="str">
        <f aca="false">IF(COUNTIFS(CALCUL_NOTE!C$20:C$99,A25,CALCUL_NOTE!A$20:A$99,"FRA_CROATIE_M1")=0,"-",SUMIFS(CALCUL_NOTE!L$20:L$99,CALCUL_NOTE!C$20:C$99,A25,CALCUL_NOTE!A$20:A$99,"FRA_CROATIE_M1"))</f>
        <v>-</v>
      </c>
      <c r="I25" s="101" t="str">
        <f aca="false">IF(COUNTIFS(CALCUL_NOTE!C$20:C$99,A25,CALCUL_NOTE!A$20:A$99,"FRA_CROATIE_M2")=0,"-",SUMIFS(CALCUL_NOTE!L$20:L$99,CALCUL_NOTE!C$20:C$99,A25,CALCUL_NOTE!A$20:A$99,"FRA_CROATIE_M2"))</f>
        <v>-</v>
      </c>
      <c r="J25" s="101" t="n">
        <f aca="false">IF(COUNTIFS(CALCUL_NOTE!C$20:C$99,A25,CALCUL_NOTE!A$20:A$99,"FRA_PORTUGAL_M1")=0,"-",SUMIFS(CALCUL_NOTE!L$20:L$99,CALCUL_NOTE!C$20:C$99,A25,CALCUL_NOTE!A$20:A$99,"FRA_PORTUGAL_M1"))</f>
        <v>10.75</v>
      </c>
      <c r="K25" s="101" t="n">
        <f aca="false">IF(COUNTIFS(CALCUL_NOTE!C$20:C$99,A25,CALCUL_NOTE!A$20:A$99,"FRA_PORTUGAL_M2")=0,"-",SUMIFS(CALCUL_NOTE!L$20:L$99,CALCUL_NOTE!C$20:C$99,A25,CALCUL_NOTE!A$20:A$99,"FRA_PORTUGAL_M2"))</f>
        <v>12.55</v>
      </c>
    </row>
    <row r="26" customFormat="false" ht="24.7" hidden="false" customHeight="true" outlineLevel="0" collapsed="false">
      <c r="A26" s="102" t="s">
        <v>34</v>
      </c>
      <c r="B26" s="98" t="str">
        <f aca="false">IFERROR(VLOOKUP(A26,CALCUL_NOTE!C:D,2,0),"")</f>
        <v>Pivot</v>
      </c>
      <c r="C26" s="98" t="n">
        <f aca="false">COUNTIF(CALCUL_NOTE!C$20:C$99,A26)</f>
        <v>2</v>
      </c>
      <c r="D26" s="99" t="n">
        <f aca="false">SUMIF(CALCUL_NOTE!C$20:C$99,A26,CALCUL_NOTE!E$20:E$99)</f>
        <v>18.4167</v>
      </c>
      <c r="E26" s="100" t="n">
        <f aca="false">IFERROR(AVERAGEIF(CALCUL_NOTE!C$20:C$99,A26,CALCUL_NOTE!L$20:L$99),"")</f>
        <v>12.5</v>
      </c>
      <c r="F26" s="101" t="n">
        <f aca="false">IFERROR(MAX(H26:K26),"")</f>
        <v>13</v>
      </c>
      <c r="G26" s="101" t="n">
        <f aca="false">IFERROR(MIN(H26:K26),"")</f>
        <v>12</v>
      </c>
      <c r="H26" s="101" t="str">
        <f aca="false">IF(COUNTIFS(CALCUL_NOTE!C$20:C$99,A26,CALCUL_NOTE!A$20:A$99,"FRA_CROATIE_M1")=0,"-",SUMIFS(CALCUL_NOTE!L$20:L$99,CALCUL_NOTE!C$20:C$99,A26,CALCUL_NOTE!A$20:A$99,"FRA_CROATIE_M1"))</f>
        <v>-</v>
      </c>
      <c r="I26" s="101" t="str">
        <f aca="false">IF(COUNTIFS(CALCUL_NOTE!C$20:C$99,A26,CALCUL_NOTE!A$20:A$99,"FRA_CROATIE_M2")=0,"-",SUMIFS(CALCUL_NOTE!L$20:L$99,CALCUL_NOTE!C$20:C$99,A26,CALCUL_NOTE!A$20:A$99,"FRA_CROATIE_M2"))</f>
        <v>-</v>
      </c>
      <c r="J26" s="101" t="n">
        <f aca="false">IF(COUNTIFS(CALCUL_NOTE!C$20:C$99,A26,CALCUL_NOTE!A$20:A$99,"FRA_PORTUGAL_M1")=0,"-",SUMIFS(CALCUL_NOTE!L$20:L$99,CALCUL_NOTE!C$20:C$99,A26,CALCUL_NOTE!A$20:A$99,"FRA_PORTUGAL_M1"))</f>
        <v>12</v>
      </c>
      <c r="K26" s="101" t="n">
        <f aca="false">IF(COUNTIFS(CALCUL_NOTE!C$20:C$99,A26,CALCUL_NOTE!A$20:A$99,"FRA_PORTUGAL_M2")=0,"-",SUMIFS(CALCUL_NOTE!L$20:L$99,CALCUL_NOTE!C$20:C$99,A26,CALCUL_NOTE!A$20:A$99,"FRA_PORTUGAL_M2"))</f>
        <v>13</v>
      </c>
    </row>
    <row r="27" customFormat="false" ht="24.7" hidden="false" customHeight="true" outlineLevel="0" collapsed="false">
      <c r="A27" s="98" t="s">
        <v>121</v>
      </c>
      <c r="B27" s="98" t="str">
        <f aca="false">IFERROR(VLOOKUP(A27,CALCUL_NOTE!C:D,2,0),"")</f>
        <v>Meneur côté</v>
      </c>
      <c r="C27" s="98" t="n">
        <f aca="false">COUNTIF(CALCUL_NOTE!C$20:C$99,A27)</f>
        <v>2</v>
      </c>
      <c r="D27" s="99" t="n">
        <f aca="false">SUMIF(CALCUL_NOTE!C$20:C$99,A27,CALCUL_NOTE!E$20:E$99)</f>
        <v>27.5833</v>
      </c>
      <c r="E27" s="100" t="n">
        <f aca="false">IFERROR(AVERAGEIF(CALCUL_NOTE!C$20:C$99,A27,CALCUL_NOTE!L$20:L$99),"")</f>
        <v>12.175</v>
      </c>
      <c r="F27" s="101" t="n">
        <f aca="false">IFERROR(MAX(H27:K27),"")</f>
        <v>13.1</v>
      </c>
      <c r="G27" s="101" t="n">
        <f aca="false">IFERROR(MIN(H27:K27),"")</f>
        <v>11.25</v>
      </c>
      <c r="H27" s="101" t="str">
        <f aca="false">IF(COUNTIFS(CALCUL_NOTE!C$20:C$99,A27,CALCUL_NOTE!A$20:A$99,"FRA_CROATIE_M1")=0,"-",SUMIFS(CALCUL_NOTE!L$20:L$99,CALCUL_NOTE!C$20:C$99,A27,CALCUL_NOTE!A$20:A$99,"FRA_CROATIE_M1"))</f>
        <v>-</v>
      </c>
      <c r="I27" s="101" t="str">
        <f aca="false">IF(COUNTIFS(CALCUL_NOTE!C$20:C$99,A27,CALCUL_NOTE!A$20:A$99,"FRA_CROATIE_M2")=0,"-",SUMIFS(CALCUL_NOTE!L$20:L$99,CALCUL_NOTE!C$20:C$99,A27,CALCUL_NOTE!A$20:A$99,"FRA_CROATIE_M2"))</f>
        <v>-</v>
      </c>
      <c r="J27" s="101" t="n">
        <f aca="false">IF(COUNTIFS(CALCUL_NOTE!C$20:C$99,A27,CALCUL_NOTE!A$20:A$99,"FRA_PORTUGAL_M1")=0,"-",SUMIFS(CALCUL_NOTE!L$20:L$99,CALCUL_NOTE!C$20:C$99,A27,CALCUL_NOTE!A$20:A$99,"FRA_PORTUGAL_M1"))</f>
        <v>13.1</v>
      </c>
      <c r="K27" s="101" t="n">
        <f aca="false">IF(COUNTIFS(CALCUL_NOTE!C$20:C$99,A27,CALCUL_NOTE!A$20:A$99,"FRA_PORTUGAL_M2")=0,"-",SUMIFS(CALCUL_NOTE!L$20:L$99,CALCUL_NOTE!C$20:C$99,A27,CALCUL_NOTE!A$20:A$99,"FRA_PORTUGAL_M2"))</f>
        <v>11.25</v>
      </c>
    </row>
    <row r="28" customFormat="false" ht="24.7" hidden="false" customHeight="true" outlineLevel="0" collapsed="false">
      <c r="A28" s="102" t="s">
        <v>234</v>
      </c>
      <c r="B28" s="98" t="str">
        <f aca="false">IFERROR(VLOOKUP(A28,CALCUL_NOTE!C:D,2,0),"")</f>
        <v>Gardien</v>
      </c>
      <c r="C28" s="98" t="n">
        <f aca="false">COUNTIF(CALCUL_NOTE!C$20:C$99,A28)</f>
        <v>1</v>
      </c>
      <c r="D28" s="99" t="n">
        <f aca="false">SUMIF(CALCUL_NOTE!C$20:C$99,A28,CALCUL_NOTE!E$20:E$99)</f>
        <v>15.9333</v>
      </c>
      <c r="E28" s="100" t="n">
        <f aca="false">IFERROR(AVERAGEIF(CALCUL_NOTE!C$20:C$99,A28,CALCUL_NOTE!L$20:L$99),"")</f>
        <v>12.65</v>
      </c>
      <c r="F28" s="101" t="n">
        <f aca="false">IFERROR(MAX(H28:K28),"")</f>
        <v>12.65</v>
      </c>
      <c r="G28" s="101" t="n">
        <f aca="false">IFERROR(MIN(H28:K28),"")</f>
        <v>12.65</v>
      </c>
      <c r="H28" s="101" t="str">
        <f aca="false">IF(COUNTIFS(CALCUL_NOTE!C$20:C$99,A28,CALCUL_NOTE!A$20:A$99,"FRA_CROATIE_M1")=0,"-",SUMIFS(CALCUL_NOTE!L$20:L$99,CALCUL_NOTE!C$20:C$99,A28,CALCUL_NOTE!A$20:A$99,"FRA_CROATIE_M1"))</f>
        <v>-</v>
      </c>
      <c r="I28" s="101" t="str">
        <f aca="false">IF(COUNTIFS(CALCUL_NOTE!C$20:C$99,A28,CALCUL_NOTE!A$20:A$99,"FRA_CROATIE_M2")=0,"-",SUMIFS(CALCUL_NOTE!L$20:L$99,CALCUL_NOTE!C$20:C$99,A28,CALCUL_NOTE!A$20:A$99,"FRA_CROATIE_M2"))</f>
        <v>-</v>
      </c>
      <c r="J28" s="101" t="str">
        <f aca="false">IF(COUNTIFS(CALCUL_NOTE!C$20:C$99,A28,CALCUL_NOTE!A$20:A$99,"FRA_PORTUGAL_M1")=0,"-",SUMIFS(CALCUL_NOTE!L$20:L$99,CALCUL_NOTE!C$20:C$99,A28,CALCUL_NOTE!A$20:A$99,"FRA_PORTUGAL_M1"))</f>
        <v>-</v>
      </c>
      <c r="K28" s="101" t="n">
        <f aca="false">IF(COUNTIFS(CALCUL_NOTE!C$20:C$99,A28,CALCUL_NOTE!A$20:A$99,"FRA_PORTUGAL_M2")=0,"-",SUMIFS(CALCUL_NOTE!L$20:L$99,CALCUL_NOTE!C$20:C$99,A28,CALCUL_NOTE!A$20:A$99,"FRA_PORTUGAL_M2"))</f>
        <v>12.65</v>
      </c>
    </row>
    <row r="29" customFormat="false" ht="13.8" hidden="false" customHeight="false" outlineLevel="0" collapsed="false">
      <c r="B29" s="103"/>
      <c r="C29" s="103"/>
      <c r="D29" s="103"/>
      <c r="E29" s="103"/>
      <c r="F29" s="103"/>
      <c r="G29" s="103"/>
    </row>
    <row r="31" customFormat="false" ht="13.8" hidden="false" customHeight="false" outlineLevel="0" collapsed="false">
      <c r="A31" s="104" t="s">
        <v>296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</row>
    <row r="32" customFormat="false" ht="13.8" hidden="false" customHeight="false" outlineLevel="0" collapsed="false">
      <c r="A32" s="96" t="s">
        <v>297</v>
      </c>
      <c r="B32" s="96"/>
      <c r="C32" s="96"/>
      <c r="D32" s="96"/>
      <c r="E32" s="96"/>
      <c r="F32" s="96"/>
      <c r="G32" s="96"/>
      <c r="H32" s="96"/>
      <c r="I32" s="96"/>
      <c r="J32" s="96"/>
      <c r="K32" s="96"/>
    </row>
    <row r="33" customFormat="false" ht="13.8" hidden="false" customHeight="false" outlineLevel="0" collapsed="false">
      <c r="A33" s="96" t="s">
        <v>298</v>
      </c>
      <c r="B33" s="96"/>
      <c r="C33" s="96"/>
      <c r="D33" s="96"/>
      <c r="E33" s="96"/>
      <c r="F33" s="96"/>
      <c r="G33" s="96"/>
      <c r="H33" s="96"/>
      <c r="I33" s="96"/>
      <c r="J33" s="96"/>
      <c r="K33" s="96"/>
    </row>
    <row r="34" customFormat="false" ht="13.8" hidden="false" customHeight="false" outlineLevel="0" collapsed="false">
      <c r="A34" s="96" t="s">
        <v>299</v>
      </c>
      <c r="B34" s="96"/>
      <c r="C34" s="96"/>
      <c r="D34" s="96"/>
      <c r="E34" s="96"/>
      <c r="F34" s="96"/>
      <c r="G34" s="96"/>
      <c r="H34" s="96"/>
      <c r="I34" s="96"/>
      <c r="J34" s="96"/>
      <c r="K34" s="96"/>
    </row>
    <row r="35" customFormat="false" ht="13.8" hidden="false" customHeight="false" outlineLevel="0" collapsed="false">
      <c r="A35" s="96" t="s">
        <v>300</v>
      </c>
      <c r="B35" s="96"/>
      <c r="C35" s="96"/>
      <c r="D35" s="96"/>
      <c r="E35" s="96"/>
      <c r="F35" s="96"/>
      <c r="G35" s="96"/>
      <c r="H35" s="96"/>
      <c r="I35" s="96"/>
      <c r="J35" s="96"/>
      <c r="K35" s="96"/>
    </row>
  </sheetData>
  <mergeCells count="7">
    <mergeCell ref="A1:K1"/>
    <mergeCell ref="A2:K2"/>
    <mergeCell ref="A31:K31"/>
    <mergeCell ref="A32:K32"/>
    <mergeCell ref="A33:K33"/>
    <mergeCell ref="A34:K34"/>
    <mergeCell ref="A35:K35"/>
  </mergeCells>
  <conditionalFormatting sqref="E5:E28 I5:K5 F6:K28 H5:H28 G5:G28 F6:F28 F5:F28">
    <cfRule type="cellIs" priority="2" operator="greaterThanOrEqual" aboveAverage="0" equalAverage="0" bottom="0" percent="0" rank="0" text="" dxfId="4">
      <formula>16</formula>
    </cfRule>
    <cfRule type="cellIs" priority="3" operator="lessThan" aboveAverage="0" equalAverage="0" bottom="0" percent="0" rank="0" text="" dxfId="5">
      <formula>10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B3D00"/>
    <pageSetUpPr fitToPage="false"/>
  </sheetPr>
  <dimension ref="A1:O99"/>
  <sheetViews>
    <sheetView showFormulas="false" showGridLines="true" showRowColHeaders="true" showZeros="true" rightToLeft="false" tabSelected="false" showOutlineSymbols="true" defaultGridColor="true" view="normal" topLeftCell="E16" colorId="64" zoomScale="45" zoomScaleNormal="45" zoomScalePageLayoutView="100" workbookViewId="0">
      <selection pane="topLeft" activeCell="K20" activeCellId="1" sqref="K3:M3 K20"/>
    </sheetView>
  </sheetViews>
  <sheetFormatPr defaultColWidth="19.78515625" defaultRowHeight="13.8" customHeight="false" zeroHeight="false" outlineLevelRow="0" outlineLevelCol="0"/>
  <sheetData>
    <row r="1" customFormat="false" ht="24" hidden="false" customHeight="true" outlineLevel="0" collapsed="false">
      <c r="A1" s="95" t="s">
        <v>301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customFormat="false" ht="13.8" hidden="false" customHeight="false" outlineLevel="0" collapsed="false">
      <c r="A2" s="105" t="s">
        <v>302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</row>
    <row r="3" customFormat="false" ht="13.8" hidden="false" customHeight="false" outlineLevel="0" collapsed="false">
      <c r="A3" s="106" t="s">
        <v>303</v>
      </c>
      <c r="B3" s="107" t="n">
        <v>10</v>
      </c>
      <c r="D3" s="106" t="s">
        <v>304</v>
      </c>
      <c r="E3" s="107" t="n">
        <v>3</v>
      </c>
      <c r="G3" s="106" t="s">
        <v>305</v>
      </c>
      <c r="H3" s="107" t="n">
        <v>1.5</v>
      </c>
      <c r="J3" s="106" t="s">
        <v>306</v>
      </c>
      <c r="K3" s="107" t="n">
        <v>0</v>
      </c>
      <c r="M3" s="106" t="s">
        <v>307</v>
      </c>
      <c r="N3" s="108" t="s">
        <v>308</v>
      </c>
    </row>
    <row r="5" customFormat="false" ht="13.8" hidden="false" customHeight="false" outlineLevel="0" collapsed="false">
      <c r="A5" s="109" t="s">
        <v>309</v>
      </c>
      <c r="B5" s="109"/>
      <c r="C5" s="109"/>
      <c r="E5" s="109" t="s">
        <v>310</v>
      </c>
      <c r="F5" s="109"/>
      <c r="G5" s="109"/>
      <c r="I5" s="109" t="s">
        <v>311</v>
      </c>
      <c r="J5" s="109"/>
      <c r="K5" s="109"/>
      <c r="M5" s="109" t="s">
        <v>312</v>
      </c>
      <c r="N5" s="109"/>
      <c r="O5" s="109"/>
    </row>
    <row r="6" customFormat="false" ht="13.8" hidden="false" customHeight="false" outlineLevel="0" collapsed="false">
      <c r="A6" s="110" t="s">
        <v>313</v>
      </c>
      <c r="B6" s="110" t="s">
        <v>314</v>
      </c>
      <c r="C6" s="110" t="s">
        <v>315</v>
      </c>
      <c r="E6" s="110" t="s">
        <v>313</v>
      </c>
      <c r="F6" s="110" t="s">
        <v>314</v>
      </c>
      <c r="G6" s="110" t="s">
        <v>315</v>
      </c>
      <c r="I6" s="110" t="s">
        <v>313</v>
      </c>
      <c r="J6" s="110" t="s">
        <v>314</v>
      </c>
      <c r="K6" s="110" t="s">
        <v>315</v>
      </c>
      <c r="M6" s="110" t="s">
        <v>313</v>
      </c>
      <c r="N6" s="110" t="s">
        <v>314</v>
      </c>
      <c r="O6" s="110" t="s">
        <v>315</v>
      </c>
    </row>
    <row r="7" customFormat="false" ht="13.8" hidden="false" customHeight="false" outlineLevel="0" collapsed="false">
      <c r="A7" s="111" t="s">
        <v>18</v>
      </c>
      <c r="B7" s="112" t="n">
        <v>1.5</v>
      </c>
      <c r="C7" s="113" t="s">
        <v>316</v>
      </c>
      <c r="E7" s="111" t="s">
        <v>55</v>
      </c>
      <c r="F7" s="112" t="n">
        <v>0.5</v>
      </c>
      <c r="G7" s="113" t="s">
        <v>317</v>
      </c>
      <c r="I7" s="114" t="s">
        <v>318</v>
      </c>
      <c r="J7" s="112" t="n">
        <v>-0.5</v>
      </c>
      <c r="K7" s="115" t="s">
        <v>319</v>
      </c>
      <c r="M7" s="116" t="s">
        <v>320</v>
      </c>
      <c r="N7" s="112" t="n">
        <v>1</v>
      </c>
      <c r="O7" s="117" t="s">
        <v>321</v>
      </c>
    </row>
    <row r="8" customFormat="false" ht="13.8" hidden="false" customHeight="false" outlineLevel="0" collapsed="false">
      <c r="A8" s="111" t="s">
        <v>47</v>
      </c>
      <c r="B8" s="112" t="n">
        <v>1</v>
      </c>
      <c r="C8" s="113" t="s">
        <v>322</v>
      </c>
      <c r="E8" s="111" t="s">
        <v>57</v>
      </c>
      <c r="F8" s="112" t="n">
        <v>0.5</v>
      </c>
      <c r="G8" s="113" t="s">
        <v>323</v>
      </c>
      <c r="I8" s="114" t="s">
        <v>324</v>
      </c>
      <c r="J8" s="112" t="n">
        <v>-0.5</v>
      </c>
      <c r="K8" s="115" t="s">
        <v>325</v>
      </c>
      <c r="M8" s="116" t="s">
        <v>326</v>
      </c>
      <c r="N8" s="112" t="n">
        <v>-0.5</v>
      </c>
      <c r="O8" s="117" t="s">
        <v>327</v>
      </c>
    </row>
    <row r="9" customFormat="false" ht="13.8" hidden="false" customHeight="false" outlineLevel="0" collapsed="false">
      <c r="A9" s="111" t="s">
        <v>51</v>
      </c>
      <c r="B9" s="112" t="n">
        <v>0.75</v>
      </c>
      <c r="C9" s="113" t="s">
        <v>328</v>
      </c>
      <c r="E9" s="111" t="s">
        <v>329</v>
      </c>
      <c r="F9" s="112" t="n">
        <v>0.5</v>
      </c>
      <c r="G9" s="113" t="s">
        <v>330</v>
      </c>
      <c r="I9" s="114" t="s">
        <v>331</v>
      </c>
      <c r="J9" s="112" t="n">
        <v>-0.5</v>
      </c>
      <c r="K9" s="115" t="s">
        <v>332</v>
      </c>
      <c r="M9" s="116" t="s">
        <v>333</v>
      </c>
      <c r="N9" s="112" t="n">
        <v>0.05</v>
      </c>
      <c r="O9" s="117" t="s">
        <v>334</v>
      </c>
    </row>
    <row r="10" customFormat="false" ht="13.8" hidden="false" customHeight="false" outlineLevel="0" collapsed="false">
      <c r="A10" s="111" t="s">
        <v>335</v>
      </c>
      <c r="B10" s="112" t="n">
        <v>0.25</v>
      </c>
      <c r="C10" s="113" t="s">
        <v>336</v>
      </c>
      <c r="I10" s="114" t="s">
        <v>75</v>
      </c>
      <c r="J10" s="112" t="n">
        <v>-0.5</v>
      </c>
      <c r="K10" s="115" t="s">
        <v>337</v>
      </c>
      <c r="M10" s="116" t="s">
        <v>338</v>
      </c>
      <c r="N10" s="112" t="n">
        <v>0.5</v>
      </c>
      <c r="O10" s="117" t="s">
        <v>339</v>
      </c>
    </row>
    <row r="11" customFormat="false" ht="13.8" hidden="false" customHeight="false" outlineLevel="0" collapsed="false">
      <c r="A11" s="111" t="s">
        <v>340</v>
      </c>
      <c r="B11" s="112" t="n">
        <v>0.1</v>
      </c>
      <c r="C11" s="113" t="s">
        <v>341</v>
      </c>
      <c r="I11" s="114" t="s">
        <v>81</v>
      </c>
      <c r="J11" s="112" t="n">
        <v>-0.25</v>
      </c>
      <c r="K11" s="115" t="s">
        <v>342</v>
      </c>
      <c r="M11" s="116" t="s">
        <v>343</v>
      </c>
      <c r="N11" s="112" t="n">
        <v>-0.5</v>
      </c>
      <c r="O11" s="117" t="s">
        <v>344</v>
      </c>
    </row>
    <row r="12" customFormat="false" ht="13.8" hidden="false" customHeight="false" outlineLevel="0" collapsed="false">
      <c r="A12" s="111" t="s">
        <v>345</v>
      </c>
      <c r="B12" s="112" t="n">
        <v>0.5</v>
      </c>
      <c r="C12" s="113" t="s">
        <v>346</v>
      </c>
      <c r="I12" s="114" t="s">
        <v>83</v>
      </c>
      <c r="J12" s="112" t="n">
        <v>-0.25</v>
      </c>
      <c r="K12" s="115" t="s">
        <v>347</v>
      </c>
      <c r="M12" s="116" t="s">
        <v>348</v>
      </c>
      <c r="N12" s="112" t="n">
        <v>-0.1</v>
      </c>
      <c r="O12" s="117" t="s">
        <v>349</v>
      </c>
    </row>
    <row r="13" customFormat="false" ht="13.8" hidden="false" customHeight="false" outlineLevel="0" collapsed="false">
      <c r="A13" s="111" t="s">
        <v>77</v>
      </c>
      <c r="B13" s="112" t="n">
        <v>0.5</v>
      </c>
      <c r="C13" s="113" t="s">
        <v>350</v>
      </c>
      <c r="I13" s="114" t="s">
        <v>351</v>
      </c>
      <c r="J13" s="112" t="n">
        <v>-0.25</v>
      </c>
      <c r="K13" s="115" t="s">
        <v>352</v>
      </c>
    </row>
    <row r="17" customFormat="false" ht="21.75" hidden="false" customHeight="true" outlineLevel="0" collapsed="false">
      <c r="A17" s="118" t="s">
        <v>353</v>
      </c>
      <c r="B17" s="118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</row>
    <row r="18" customFormat="false" ht="13.8" hidden="false" customHeight="false" outlineLevel="0" collapsed="false">
      <c r="A18" s="105" t="s">
        <v>354</v>
      </c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</row>
    <row r="19" customFormat="false" ht="24" hidden="false" customHeight="true" outlineLevel="0" collapsed="false">
      <c r="A19" s="119" t="s">
        <v>274</v>
      </c>
      <c r="B19" s="119" t="s">
        <v>11</v>
      </c>
      <c r="C19" s="119" t="s">
        <v>108</v>
      </c>
      <c r="D19" s="119" t="s">
        <v>109</v>
      </c>
      <c r="E19" s="119" t="s">
        <v>240</v>
      </c>
      <c r="F19" s="119" t="s">
        <v>355</v>
      </c>
      <c r="G19" s="119" t="s">
        <v>356</v>
      </c>
      <c r="H19" s="119" t="s">
        <v>357</v>
      </c>
      <c r="I19" s="119" t="s">
        <v>358</v>
      </c>
      <c r="J19" s="119" t="s">
        <v>359</v>
      </c>
      <c r="K19" s="119" t="s">
        <v>360</v>
      </c>
      <c r="L19" s="119" t="s">
        <v>361</v>
      </c>
    </row>
    <row r="20" customFormat="false" ht="13.8" hidden="false" customHeight="false" outlineLevel="0" collapsed="false">
      <c r="A20" s="120" t="str">
        <f aca="false">IFERROR(BASE_DATA!A2,"")</f>
        <v>FRA_CROATIE_M1</v>
      </c>
      <c r="B20" s="121" t="str">
        <f aca="false">IFERROR(BASE_DATA!B2,"")</f>
        <v>Croatie</v>
      </c>
      <c r="C20" s="121" t="str">
        <f aca="false">IFERROR(BASE_DATA!G2,"")</f>
        <v>F. SIMIAND</v>
      </c>
      <c r="D20" s="121" t="str">
        <f aca="false">IFERROR(BASE_DATA!I2,"")</f>
        <v>Ailier</v>
      </c>
      <c r="E20" s="122" t="n">
        <f aca="false">IFERROR(BASE_DATA!R2,"")</f>
        <v>23</v>
      </c>
      <c r="F20" s="123" t="n">
        <f aca="false">IF(C20="","",BASE_DATA!T2*$B$7+BASE_DATA!U2*$B$8+BASE_DATA!W2*$B$9+BASE_DATA!Y2*$B$10+BASE_DATA!X2*$B$11+BASE_DATA!AH2*$B$12+BASE_DATA!AM2*$B$13)</f>
        <v>6.45</v>
      </c>
      <c r="G20" s="123" t="n">
        <f aca="false">IF(C20="","",BASE_DATA!AN2*$F$7+BASE_DATA!AO2*$F$8+BASE_DATA!AJ2*$F$9)</f>
        <v>4</v>
      </c>
      <c r="H20" s="123" t="n">
        <f aca="false">IF(C20="","",BASE_DATA!AD2*$J$7+BASE_DATA!AG2*$J$8+BASE_DATA!AE2*$J$9+BASE_DATA!AL2*$J$10+BASE_DATA!AB2*$J$11+BASE_DATA!AC2*$J$12+BASE_DATA!AF2*$J$13)</f>
        <v>-6</v>
      </c>
      <c r="I20" s="123" t="n">
        <f aca="false">IF(C20="","",BASE_DATA!AQ2*$N$7+BASE_DATA!AP2*$N$8+BASE_DATA!AR2*$N$9+BASE_DATA!AT2*$N$10+BASE_DATA!AS2*$N$11+BASE_DATA!AU2*$N$12)</f>
        <v>0</v>
      </c>
      <c r="J20" s="122" t="n">
        <f aca="false">IF(C20="","",IFERROR(SUMIFS(EVAL_MATCH!E:E,EVAL_MATCH!A:A,A20,EVAL_MATCH!C:C,C20),0))</f>
        <v>1.5</v>
      </c>
      <c r="K20" s="123" t="n">
        <f aca="false">IF(C20="","",$B$3+F20+G20+H20+I20+J20)</f>
        <v>15.95</v>
      </c>
      <c r="L20" s="124" t="n">
        <f aca="false">IF(C20="","",MIN(20,MAX(0,K20)))</f>
        <v>15.95</v>
      </c>
    </row>
    <row r="21" customFormat="false" ht="13.8" hidden="false" customHeight="false" outlineLevel="0" collapsed="false">
      <c r="A21" s="120" t="str">
        <f aca="false">IFERROR(BASE_DATA!A3,"")</f>
        <v>FRA_CROATIE_M1</v>
      </c>
      <c r="B21" s="121" t="str">
        <f aca="false">IFERROR(BASE_DATA!B3,"")</f>
        <v>Croatie</v>
      </c>
      <c r="C21" s="121" t="str">
        <f aca="false">IFERROR(BASE_DATA!G3,"")</f>
        <v>H. BRAGUE</v>
      </c>
      <c r="D21" s="121" t="str">
        <f aca="false">IFERROR(BASE_DATA!I3,"")</f>
        <v>Ailier</v>
      </c>
      <c r="E21" s="122" t="n">
        <f aca="false">IFERROR(BASE_DATA!R3,"")</f>
        <v>16</v>
      </c>
      <c r="F21" s="123" t="n">
        <f aca="false">IF(C21="","",BASE_DATA!T3*$B$7+BASE_DATA!U3*$B$8+BASE_DATA!W3*$B$9+BASE_DATA!Y3*$B$10+BASE_DATA!X3*$B$11+BASE_DATA!AH3*$B$12+BASE_DATA!AM3*$B$13)</f>
        <v>4.85</v>
      </c>
      <c r="G21" s="123" t="n">
        <f aca="false">IF(C21="","",BASE_DATA!AN3*$F$7+BASE_DATA!AO3*$F$8+BASE_DATA!AJ3*$F$9)</f>
        <v>2</v>
      </c>
      <c r="H21" s="123" t="n">
        <f aca="false">IF(C21="","",BASE_DATA!AD3*$J$7+BASE_DATA!AG3*$J$8+BASE_DATA!AE3*$J$9+BASE_DATA!AL3*$J$10+BASE_DATA!AB3*$J$11+BASE_DATA!AC3*$J$12+BASE_DATA!AF3*$J$13)</f>
        <v>-2</v>
      </c>
      <c r="I21" s="123" t="n">
        <f aca="false">IF(C21="","",BASE_DATA!AQ3*$N$7+BASE_DATA!AP3*$N$8+BASE_DATA!AR3*$N$9+BASE_DATA!AT3*$N$10+BASE_DATA!AS3*$N$11+BASE_DATA!AU3*$N$12)</f>
        <v>0</v>
      </c>
      <c r="J21" s="122" t="n">
        <f aca="false">IF(C21="","",IFERROR(SUMIFS(EVAL_MATCH!E:E,EVAL_MATCH!A:A,A21,EVAL_MATCH!C:C,C21),0))</f>
        <v>3</v>
      </c>
      <c r="K21" s="123" t="n">
        <f aca="false">IF(C21="","",$B$3+F21+G21+H21+I21+J21)</f>
        <v>17.85</v>
      </c>
      <c r="L21" s="124" t="n">
        <f aca="false">IF(C21="","",MIN(20,MAX(0,K21)))</f>
        <v>17.85</v>
      </c>
    </row>
    <row r="22" customFormat="false" ht="13.8" hidden="false" customHeight="false" outlineLevel="0" collapsed="false">
      <c r="A22" s="120" t="str">
        <f aca="false">IFERROR(BASE_DATA!A4,"")</f>
        <v>FRA_CROATIE_M1</v>
      </c>
      <c r="B22" s="121" t="str">
        <f aca="false">IFERROR(BASE_DATA!B4,"")</f>
        <v>Croatie</v>
      </c>
      <c r="C22" s="121" t="str">
        <f aca="false">IFERROR(BASE_DATA!G4,"")</f>
        <v>I. BERRADA</v>
      </c>
      <c r="D22" s="121" t="str">
        <f aca="false">IFERROR(BASE_DATA!I4,"")</f>
        <v>Meneur côté</v>
      </c>
      <c r="E22" s="122" t="n">
        <f aca="false">IFERROR(BASE_DATA!R4,"")</f>
        <v>14</v>
      </c>
      <c r="F22" s="123" t="n">
        <f aca="false">IF(C22="","",BASE_DATA!T4*$B$7+BASE_DATA!U4*$B$8+BASE_DATA!W4*$B$9+BASE_DATA!Y4*$B$10+BASE_DATA!X4*$B$11+BASE_DATA!AH4*$B$12+BASE_DATA!AM4*$B$13)</f>
        <v>0.25</v>
      </c>
      <c r="G22" s="123" t="n">
        <f aca="false">IF(C22="","",BASE_DATA!AN4*$F$7+BASE_DATA!AO4*$F$8+BASE_DATA!AJ4*$F$9)</f>
        <v>1.5</v>
      </c>
      <c r="H22" s="123" t="n">
        <f aca="false">IF(C22="","",BASE_DATA!AD4*$J$7+BASE_DATA!AG4*$J$8+BASE_DATA!AE4*$J$9+BASE_DATA!AL4*$J$10+BASE_DATA!AB4*$J$11+BASE_DATA!AC4*$J$12+BASE_DATA!AF4*$J$13)</f>
        <v>-0.75</v>
      </c>
      <c r="I22" s="123" t="n">
        <f aca="false">IF(C22="","",BASE_DATA!AQ4*$N$7+BASE_DATA!AP4*$N$8+BASE_DATA!AR4*$N$9+BASE_DATA!AT4*$N$10+BASE_DATA!AS4*$N$11+BASE_DATA!AU4*$N$12)</f>
        <v>0</v>
      </c>
      <c r="J22" s="122" t="n">
        <f aca="false">IF(C22="","",IFERROR(SUMIFS(EVAL_MATCH!E:E,EVAL_MATCH!A:A,A22,EVAL_MATCH!C:C,C22),0))</f>
        <v>0</v>
      </c>
      <c r="K22" s="123" t="n">
        <f aca="false">IF(C22="","",$B$3+F22+G22+H22+I22+J22)</f>
        <v>11</v>
      </c>
      <c r="L22" s="124" t="n">
        <f aca="false">IF(C22="","",MIN(20,MAX(0,K22)))</f>
        <v>11</v>
      </c>
    </row>
    <row r="23" customFormat="false" ht="13.8" hidden="false" customHeight="false" outlineLevel="0" collapsed="false">
      <c r="A23" s="120" t="str">
        <f aca="false">IFERROR(BASE_DATA!A5,"")</f>
        <v>FRA_CROATIE_M1</v>
      </c>
      <c r="B23" s="121" t="str">
        <f aca="false">IFERROR(BASE_DATA!B5,"")</f>
        <v>Croatie</v>
      </c>
      <c r="C23" s="121" t="str">
        <f aca="false">IFERROR(BASE_DATA!G5,"")</f>
        <v>K. DA ROCHA</v>
      </c>
      <c r="D23" s="121" t="str">
        <f aca="false">IFERROR(BASE_DATA!I5,"")</f>
        <v>Meneur côté</v>
      </c>
      <c r="E23" s="122" t="n">
        <f aca="false">IFERROR(BASE_DATA!R5,"")</f>
        <v>14.5</v>
      </c>
      <c r="F23" s="123" t="n">
        <f aca="false">IF(C23="","",BASE_DATA!T5*$B$7+BASE_DATA!U5*$B$8+BASE_DATA!W5*$B$9+BASE_DATA!Y5*$B$10+BASE_DATA!X5*$B$11+BASE_DATA!AH5*$B$12+BASE_DATA!AM5*$B$13)</f>
        <v>5.45</v>
      </c>
      <c r="G23" s="123" t="n">
        <f aca="false">IF(C23="","",BASE_DATA!AN5*$F$7+BASE_DATA!AO5*$F$8+BASE_DATA!AJ5*$F$9)</f>
        <v>1.5</v>
      </c>
      <c r="H23" s="123" t="n">
        <f aca="false">IF(C23="","",BASE_DATA!AD5*$J$7+BASE_DATA!AG5*$J$8+BASE_DATA!AE5*$J$9+BASE_DATA!AL5*$J$10+BASE_DATA!AB5*$J$11+BASE_DATA!AC5*$J$12+BASE_DATA!AF5*$J$13)</f>
        <v>-2.5</v>
      </c>
      <c r="I23" s="123" t="n">
        <f aca="false">IF(C23="","",BASE_DATA!AQ5*$N$7+BASE_DATA!AP5*$N$8+BASE_DATA!AR5*$N$9+BASE_DATA!AT5*$N$10+BASE_DATA!AS5*$N$11+BASE_DATA!AU5*$N$12)</f>
        <v>0</v>
      </c>
      <c r="J23" s="122" t="n">
        <f aca="false">IF(C23="","",IFERROR(SUMIFS(EVAL_MATCH!E:E,EVAL_MATCH!A:A,A23,EVAL_MATCH!C:C,C23),0))</f>
        <v>1.5</v>
      </c>
      <c r="K23" s="123" t="n">
        <f aca="false">IF(C23="","",$B$3+F23+G23+H23+I23+J23)</f>
        <v>15.95</v>
      </c>
      <c r="L23" s="124" t="n">
        <f aca="false">IF(C23="","",MIN(20,MAX(0,K23)))</f>
        <v>15.95</v>
      </c>
    </row>
    <row r="24" customFormat="false" ht="13.8" hidden="false" customHeight="false" outlineLevel="0" collapsed="false">
      <c r="A24" s="120" t="str">
        <f aca="false">IFERROR(BASE_DATA!A6,"")</f>
        <v>FRA_CROATIE_M1</v>
      </c>
      <c r="B24" s="121" t="str">
        <f aca="false">IFERROR(BASE_DATA!B6,"")</f>
        <v>Croatie</v>
      </c>
      <c r="C24" s="121" t="str">
        <f aca="false">IFERROR(BASE_DATA!G6,"")</f>
        <v>L. LADIRE</v>
      </c>
      <c r="D24" s="121" t="str">
        <f aca="false">IFERROR(BASE_DATA!I6,"")</f>
        <v>Meneur</v>
      </c>
      <c r="E24" s="122" t="n">
        <f aca="false">IFERROR(BASE_DATA!R6,"")</f>
        <v>17.5</v>
      </c>
      <c r="F24" s="123" t="n">
        <f aca="false">IF(C24="","",BASE_DATA!T6*$B$7+BASE_DATA!U6*$B$8+BASE_DATA!W6*$B$9+BASE_DATA!Y6*$B$10+BASE_DATA!X6*$B$11+BASE_DATA!AH6*$B$12+BASE_DATA!AM6*$B$13)</f>
        <v>7</v>
      </c>
      <c r="G24" s="123" t="n">
        <f aca="false">IF(C24="","",BASE_DATA!AN6*$F$7+BASE_DATA!AO6*$F$8+BASE_DATA!AJ6*$F$9)</f>
        <v>3</v>
      </c>
      <c r="H24" s="123" t="n">
        <f aca="false">IF(C24="","",BASE_DATA!AD6*$J$7+BASE_DATA!AG6*$J$8+BASE_DATA!AE6*$J$9+BASE_DATA!AL6*$J$10+BASE_DATA!AB6*$J$11+BASE_DATA!AC6*$J$12+BASE_DATA!AF6*$J$13)</f>
        <v>-2</v>
      </c>
      <c r="I24" s="123" t="n">
        <f aca="false">IF(C24="","",BASE_DATA!AQ6*$N$7+BASE_DATA!AP6*$N$8+BASE_DATA!AR6*$N$9+BASE_DATA!AT6*$N$10+BASE_DATA!AS6*$N$11+BASE_DATA!AU6*$N$12)</f>
        <v>0</v>
      </c>
      <c r="J24" s="122" t="n">
        <f aca="false">IF(C24="","",IFERROR(SUMIFS(EVAL_MATCH!E:E,EVAL_MATCH!A:A,A24,EVAL_MATCH!C:C,C24),0))</f>
        <v>3</v>
      </c>
      <c r="K24" s="123" t="n">
        <f aca="false">IF(C24="","",$B$3+F24+G24+H24+I24+J24)</f>
        <v>21</v>
      </c>
      <c r="L24" s="124" t="n">
        <f aca="false">IF(C24="","",MIN(20,MAX(0,K24)))</f>
        <v>20</v>
      </c>
    </row>
    <row r="25" customFormat="false" ht="13.8" hidden="false" customHeight="false" outlineLevel="0" collapsed="false">
      <c r="A25" s="120" t="str">
        <f aca="false">IFERROR(BASE_DATA!A7,"")</f>
        <v>FRA_CROATIE_M1</v>
      </c>
      <c r="B25" s="121" t="str">
        <f aca="false">IFERROR(BASE_DATA!B7,"")</f>
        <v>Croatie</v>
      </c>
      <c r="C25" s="121" t="str">
        <f aca="false">IFERROR(BASE_DATA!G7,"")</f>
        <v>L. RAHO MOUSSA</v>
      </c>
      <c r="D25" s="121" t="str">
        <f aca="false">IFERROR(BASE_DATA!I7,"")</f>
        <v>Ailier</v>
      </c>
      <c r="E25" s="122" t="n">
        <f aca="false">IFERROR(BASE_DATA!R7,"")</f>
        <v>14.5</v>
      </c>
      <c r="F25" s="123" t="n">
        <f aca="false">IF(C25="","",BASE_DATA!T7*$B$7+BASE_DATA!U7*$B$8+BASE_DATA!W7*$B$9+BASE_DATA!Y7*$B$10+BASE_DATA!X7*$B$11+BASE_DATA!AH7*$B$12+BASE_DATA!AM7*$B$13)</f>
        <v>10.45</v>
      </c>
      <c r="G25" s="123" t="n">
        <f aca="false">IF(C25="","",BASE_DATA!AN7*$F$7+BASE_DATA!AO7*$F$8+BASE_DATA!AJ7*$F$9)</f>
        <v>0.5</v>
      </c>
      <c r="H25" s="123" t="n">
        <f aca="false">IF(C25="","",BASE_DATA!AD7*$J$7+BASE_DATA!AG7*$J$8+BASE_DATA!AE7*$J$9+BASE_DATA!AL7*$J$10+BASE_DATA!AB7*$J$11+BASE_DATA!AC7*$J$12+BASE_DATA!AF7*$J$13)</f>
        <v>-2.5</v>
      </c>
      <c r="I25" s="123" t="n">
        <f aca="false">IF(C25="","",BASE_DATA!AQ7*$N$7+BASE_DATA!AP7*$N$8+BASE_DATA!AR7*$N$9+BASE_DATA!AT7*$N$10+BASE_DATA!AS7*$N$11+BASE_DATA!AU7*$N$12)</f>
        <v>0</v>
      </c>
      <c r="J25" s="122" t="n">
        <f aca="false">IF(C25="","",IFERROR(SUMIFS(EVAL_MATCH!E:E,EVAL_MATCH!A:A,A25,EVAL_MATCH!C:C,C25),0))</f>
        <v>1.5</v>
      </c>
      <c r="K25" s="123" t="n">
        <f aca="false">IF(C25="","",$B$3+F25+G25+H25+I25+J25)</f>
        <v>19.95</v>
      </c>
      <c r="L25" s="124" t="n">
        <f aca="false">IF(C25="","",MIN(20,MAX(0,K25)))</f>
        <v>19.95</v>
      </c>
    </row>
    <row r="26" customFormat="false" ht="13.8" hidden="false" customHeight="false" outlineLevel="0" collapsed="false">
      <c r="A26" s="120" t="str">
        <f aca="false">IFERROR(BASE_DATA!A8,"")</f>
        <v>FRA_CROATIE_M1</v>
      </c>
      <c r="B26" s="121" t="str">
        <f aca="false">IFERROR(BASE_DATA!B8,"")</f>
        <v>Croatie</v>
      </c>
      <c r="C26" s="121" t="str">
        <f aca="false">IFERROR(BASE_DATA!G8,"")</f>
        <v>M. TRAORE</v>
      </c>
      <c r="D26" s="121" t="str">
        <f aca="false">IFERROR(BASE_DATA!I8,"")</f>
        <v>Pivot</v>
      </c>
      <c r="E26" s="122" t="n">
        <f aca="false">IFERROR(BASE_DATA!R8,"")</f>
        <v>12.6667</v>
      </c>
      <c r="F26" s="123" t="n">
        <f aca="false">IF(C26="","",BASE_DATA!T8*$B$7+BASE_DATA!U8*$B$8+BASE_DATA!W8*$B$9+BASE_DATA!Y8*$B$10+BASE_DATA!X8*$B$11+BASE_DATA!AH8*$B$12+BASE_DATA!AM8*$B$13)</f>
        <v>3.6</v>
      </c>
      <c r="G26" s="123" t="n">
        <f aca="false">IF(C26="","",BASE_DATA!AN8*$F$7+BASE_DATA!AO8*$F$8+BASE_DATA!AJ8*$F$9)</f>
        <v>2.5</v>
      </c>
      <c r="H26" s="123" t="n">
        <f aca="false">IF(C26="","",BASE_DATA!AD8*$J$7+BASE_DATA!AG8*$J$8+BASE_DATA!AE8*$J$9+BASE_DATA!AL8*$J$10+BASE_DATA!AB8*$J$11+BASE_DATA!AC8*$J$12+BASE_DATA!AF8*$J$13)</f>
        <v>-0.5</v>
      </c>
      <c r="I26" s="123" t="n">
        <f aca="false">IF(C26="","",BASE_DATA!AQ8*$N$7+BASE_DATA!AP8*$N$8+BASE_DATA!AR8*$N$9+BASE_DATA!AT8*$N$10+BASE_DATA!AS8*$N$11+BASE_DATA!AU8*$N$12)</f>
        <v>0</v>
      </c>
      <c r="J26" s="122" t="n">
        <f aca="false">IF(C26="","",IFERROR(SUMIFS(EVAL_MATCH!E:E,EVAL_MATCH!A:A,A26,EVAL_MATCH!C:C,C26),0))</f>
        <v>3</v>
      </c>
      <c r="K26" s="123" t="n">
        <f aca="false">IF(C26="","",$B$3+F26+G26+H26+I26+J26)</f>
        <v>18.6</v>
      </c>
      <c r="L26" s="124" t="n">
        <f aca="false">IF(C26="","",MIN(20,MAX(0,K26)))</f>
        <v>18.6</v>
      </c>
    </row>
    <row r="27" customFormat="false" ht="13.8" hidden="false" customHeight="false" outlineLevel="0" collapsed="false">
      <c r="A27" s="120" t="str">
        <f aca="false">IFERROR(BASE_DATA!A9,"")</f>
        <v>FRA_CROATIE_M1</v>
      </c>
      <c r="B27" s="121" t="str">
        <f aca="false">IFERROR(BASE_DATA!B9,"")</f>
        <v>Croatie</v>
      </c>
      <c r="C27" s="121" t="str">
        <f aca="false">IFERROR(BASE_DATA!G9,"")</f>
        <v>M. VALVERDE</v>
      </c>
      <c r="D27" s="121" t="str">
        <f aca="false">IFERROR(BASE_DATA!I9,"")</f>
        <v>Gardien</v>
      </c>
      <c r="E27" s="122" t="n">
        <f aca="false">IFERROR(BASE_DATA!R9,"")</f>
        <v>39</v>
      </c>
      <c r="F27" s="123" t="n">
        <f aca="false">IF(C27="","",BASE_DATA!T9*$B$7+BASE_DATA!U9*$B$8+BASE_DATA!W9*$B$9+BASE_DATA!Y9*$B$10+BASE_DATA!X9*$B$11+BASE_DATA!AH9*$B$12+BASE_DATA!AM9*$B$13)</f>
        <v>1.1</v>
      </c>
      <c r="G27" s="123" t="n">
        <f aca="false">IF(C27="","",BASE_DATA!AN9*$F$7+BASE_DATA!AO9*$F$8+BASE_DATA!AJ9*$F$9)</f>
        <v>0</v>
      </c>
      <c r="H27" s="123" t="n">
        <f aca="false">IF(C27="","",BASE_DATA!AD9*$J$7+BASE_DATA!AG9*$J$8+BASE_DATA!AE9*$J$9+BASE_DATA!AL9*$J$10+BASE_DATA!AB9*$J$11+BASE_DATA!AC9*$J$12+BASE_DATA!AF9*$J$13)</f>
        <v>-1.25</v>
      </c>
      <c r="I27" s="123" t="n">
        <f aca="false">IF(C27="","",BASE_DATA!AQ9*$N$7+BASE_DATA!AP9*$N$8+BASE_DATA!AR9*$N$9+BASE_DATA!AT9*$N$10+BASE_DATA!AS9*$N$11+BASE_DATA!AU9*$N$12)</f>
        <v>15.05</v>
      </c>
      <c r="J27" s="122" t="n">
        <f aca="false">IF(C27="","",IFERROR(SUMIFS(EVAL_MATCH!E:E,EVAL_MATCH!A:A,A27,EVAL_MATCH!C:C,C27),0))</f>
        <v>3</v>
      </c>
      <c r="K27" s="123" t="n">
        <f aca="false">IF(C27="","",$B$3+F27+G27+H27+I27+J27)</f>
        <v>27.9</v>
      </c>
      <c r="L27" s="124" t="n">
        <f aca="false">IF(C27="","",MIN(20,MAX(0,K27)))</f>
        <v>20</v>
      </c>
    </row>
    <row r="28" customFormat="false" ht="13.8" hidden="false" customHeight="false" outlineLevel="0" collapsed="false">
      <c r="A28" s="120" t="str">
        <f aca="false">IFERROR(BASE_DATA!A10,"")</f>
        <v>FRA_CROATIE_M1</v>
      </c>
      <c r="B28" s="121" t="str">
        <f aca="false">IFERROR(BASE_DATA!B10,"")</f>
        <v>Croatie</v>
      </c>
      <c r="C28" s="121" t="str">
        <f aca="false">IFERROR(BASE_DATA!G10,"")</f>
        <v>O. KAMISSOKO</v>
      </c>
      <c r="D28" s="121" t="str">
        <f aca="false">IFERROR(BASE_DATA!I10,"")</f>
        <v>Ailier</v>
      </c>
      <c r="E28" s="122" t="n">
        <f aca="false">IFERROR(BASE_DATA!R10,"")</f>
        <v>9</v>
      </c>
      <c r="F28" s="123" t="n">
        <f aca="false">IF(C28="","",BASE_DATA!T10*$B$7+BASE_DATA!U10*$B$8+BASE_DATA!W10*$B$9+BASE_DATA!Y10*$B$10+BASE_DATA!X10*$B$11+BASE_DATA!AH10*$B$12+BASE_DATA!AM10*$B$13)</f>
        <v>5.75</v>
      </c>
      <c r="G28" s="123" t="n">
        <f aca="false">IF(C28="","",BASE_DATA!AN10*$F$7+BASE_DATA!AO10*$F$8+BASE_DATA!AJ10*$F$9)</f>
        <v>1</v>
      </c>
      <c r="H28" s="123" t="n">
        <f aca="false">IF(C28="","",BASE_DATA!AD10*$J$7+BASE_DATA!AG10*$J$8+BASE_DATA!AE10*$J$9+BASE_DATA!AL10*$J$10+BASE_DATA!AB10*$J$11+BASE_DATA!AC10*$J$12+BASE_DATA!AF10*$J$13)</f>
        <v>-4.5</v>
      </c>
      <c r="I28" s="123" t="n">
        <f aca="false">IF(C28="","",BASE_DATA!AQ10*$N$7+BASE_DATA!AP10*$N$8+BASE_DATA!AR10*$N$9+BASE_DATA!AT10*$N$10+BASE_DATA!AS10*$N$11+BASE_DATA!AU10*$N$12)</f>
        <v>0</v>
      </c>
      <c r="J28" s="122" t="n">
        <f aca="false">IF(C28="","",IFERROR(SUMIFS(EVAL_MATCH!E:E,EVAL_MATCH!A:A,A28,EVAL_MATCH!C:C,C28),0))</f>
        <v>3</v>
      </c>
      <c r="K28" s="123" t="n">
        <f aca="false">IF(C28="","",$B$3+F28+G28+H28+I28+J28)</f>
        <v>15.25</v>
      </c>
      <c r="L28" s="124" t="n">
        <f aca="false">IF(C28="","",MIN(20,MAX(0,K28)))</f>
        <v>15.25</v>
      </c>
    </row>
    <row r="29" customFormat="false" ht="13.8" hidden="false" customHeight="false" outlineLevel="0" collapsed="false">
      <c r="A29" s="120" t="str">
        <f aca="false">IFERROR(BASE_DATA!A11,"")</f>
        <v>FRA_CROATIE_M1</v>
      </c>
      <c r="B29" s="121" t="str">
        <f aca="false">IFERROR(BASE_DATA!B11,"")</f>
        <v>Croatie</v>
      </c>
      <c r="C29" s="121" t="str">
        <f aca="false">IFERROR(BASE_DATA!G11,"")</f>
        <v>S. CARFACHE</v>
      </c>
      <c r="D29" s="121" t="str">
        <f aca="false">IFERROR(BASE_DATA!I11,"")</f>
        <v>Meneur</v>
      </c>
      <c r="E29" s="122" t="n">
        <f aca="false">IFERROR(BASE_DATA!R11,"")</f>
        <v>12</v>
      </c>
      <c r="F29" s="123" t="n">
        <f aca="false">IF(C29="","",BASE_DATA!T11*$B$7+BASE_DATA!U11*$B$8+BASE_DATA!W11*$B$9+BASE_DATA!Y11*$B$10+BASE_DATA!X11*$B$11+BASE_DATA!AH11*$B$12+BASE_DATA!AM11*$B$13)</f>
        <v>2.85</v>
      </c>
      <c r="G29" s="123" t="n">
        <f aca="false">IF(C29="","",BASE_DATA!AN11*$F$7+BASE_DATA!AO11*$F$8+BASE_DATA!AJ11*$F$9)</f>
        <v>1</v>
      </c>
      <c r="H29" s="123" t="n">
        <f aca="false">IF(C29="","",BASE_DATA!AD11*$J$7+BASE_DATA!AG11*$J$8+BASE_DATA!AE11*$J$9+BASE_DATA!AL11*$J$10+BASE_DATA!AB11*$J$11+BASE_DATA!AC11*$J$12+BASE_DATA!AF11*$J$13)</f>
        <v>-2.5</v>
      </c>
      <c r="I29" s="123" t="n">
        <f aca="false">IF(C29="","",BASE_DATA!AQ11*$N$7+BASE_DATA!AP11*$N$8+BASE_DATA!AR11*$N$9+BASE_DATA!AT11*$N$10+BASE_DATA!AS11*$N$11+BASE_DATA!AU11*$N$12)</f>
        <v>0</v>
      </c>
      <c r="J29" s="122" t="n">
        <f aca="false">IF(C29="","",IFERROR(SUMIFS(EVAL_MATCH!E:E,EVAL_MATCH!A:A,A29,EVAL_MATCH!C:C,C29),0))</f>
        <v>3</v>
      </c>
      <c r="K29" s="123" t="n">
        <f aca="false">IF(C29="","",$B$3+F29+G29+H29+I29+J29)</f>
        <v>14.35</v>
      </c>
      <c r="L29" s="124" t="n">
        <f aca="false">IF(C29="","",MIN(20,MAX(0,K29)))</f>
        <v>14.35</v>
      </c>
    </row>
    <row r="30" customFormat="false" ht="13.8" hidden="false" customHeight="false" outlineLevel="0" collapsed="false">
      <c r="A30" s="120" t="str">
        <f aca="false">IFERROR(BASE_DATA!A12,"")</f>
        <v>FRA_CROATIE_M1</v>
      </c>
      <c r="B30" s="121" t="str">
        <f aca="false">IFERROR(BASE_DATA!B12,"")</f>
        <v>Croatie</v>
      </c>
      <c r="C30" s="121" t="str">
        <f aca="false">IFERROR(BASE_DATA!G12,"")</f>
        <v>T. FERREIRA</v>
      </c>
      <c r="D30" s="121" t="str">
        <f aca="false">IFERROR(BASE_DATA!I12,"")</f>
        <v>Meneur</v>
      </c>
      <c r="E30" s="122" t="n">
        <f aca="false">IFERROR(BASE_DATA!R12,"")</f>
        <v>11</v>
      </c>
      <c r="F30" s="123" t="n">
        <f aca="false">IF(C30="","",BASE_DATA!T12*$B$7+BASE_DATA!U12*$B$8+BASE_DATA!W12*$B$9+BASE_DATA!Y12*$B$10+BASE_DATA!X12*$B$11+BASE_DATA!AH12*$B$12+BASE_DATA!AM12*$B$13)</f>
        <v>1.75</v>
      </c>
      <c r="G30" s="123" t="n">
        <f aca="false">IF(C30="","",BASE_DATA!AN12*$F$7+BASE_DATA!AO12*$F$8+BASE_DATA!AJ12*$F$9)</f>
        <v>1.5</v>
      </c>
      <c r="H30" s="123" t="n">
        <f aca="false">IF(C30="","",BASE_DATA!AD12*$J$7+BASE_DATA!AG12*$J$8+BASE_DATA!AE12*$J$9+BASE_DATA!AL12*$J$10+BASE_DATA!AB12*$J$11+BASE_DATA!AC12*$J$12+BASE_DATA!AF12*$J$13)</f>
        <v>-2</v>
      </c>
      <c r="I30" s="123" t="n">
        <f aca="false">IF(C30="","",BASE_DATA!AQ12*$N$7+BASE_DATA!AP12*$N$8+BASE_DATA!AR12*$N$9+BASE_DATA!AT12*$N$10+BASE_DATA!AS12*$N$11+BASE_DATA!AU12*$N$12)</f>
        <v>0</v>
      </c>
      <c r="J30" s="122" t="n">
        <f aca="false">IF(C30="","",IFERROR(SUMIFS(EVAL_MATCH!E:E,EVAL_MATCH!A:A,A30,EVAL_MATCH!C:C,C30),0))</f>
        <v>1.5</v>
      </c>
      <c r="K30" s="123" t="n">
        <f aca="false">IF(C30="","",$B$3+F30+G30+H30+I30+J30)</f>
        <v>12.75</v>
      </c>
      <c r="L30" s="124" t="n">
        <f aca="false">IF(C30="","",MIN(20,MAX(0,K30)))</f>
        <v>12.75</v>
      </c>
    </row>
    <row r="31" customFormat="false" ht="13.8" hidden="false" customHeight="false" outlineLevel="0" collapsed="false">
      <c r="A31" s="120" t="str">
        <f aca="false">IFERROR(BASE_DATA!A13,"")</f>
        <v>FRA_CROATIE_M1</v>
      </c>
      <c r="B31" s="121" t="str">
        <f aca="false">IFERROR(BASE_DATA!B13,"")</f>
        <v>Croatie</v>
      </c>
      <c r="C31" s="121" t="str">
        <f aca="false">IFERROR(BASE_DATA!G13,"")</f>
        <v>Z. CHAKRI</v>
      </c>
      <c r="D31" s="121" t="str">
        <f aca="false">IFERROR(BASE_DATA!I13,"")</f>
        <v>Pivot</v>
      </c>
      <c r="E31" s="122" t="n">
        <f aca="false">IFERROR(BASE_DATA!R13,"")</f>
        <v>14</v>
      </c>
      <c r="F31" s="123" t="n">
        <f aca="false">IF(C31="","",BASE_DATA!T13*$B$7+BASE_DATA!U13*$B$8+BASE_DATA!W13*$B$9+BASE_DATA!Y13*$B$10+BASE_DATA!X13*$B$11+BASE_DATA!AH13*$B$12+BASE_DATA!AM13*$B$13)</f>
        <v>0.85</v>
      </c>
      <c r="G31" s="123" t="n">
        <f aca="false">IF(C31="","",BASE_DATA!AN13*$F$7+BASE_DATA!AO13*$F$8+BASE_DATA!AJ13*$F$9)</f>
        <v>1.5</v>
      </c>
      <c r="H31" s="123" t="n">
        <f aca="false">IF(C31="","",BASE_DATA!AD13*$J$7+BASE_DATA!AG13*$J$8+BASE_DATA!AE13*$J$9+BASE_DATA!AL13*$J$10+BASE_DATA!AB13*$J$11+BASE_DATA!AC13*$J$12+BASE_DATA!AF13*$J$13)</f>
        <v>-1</v>
      </c>
      <c r="I31" s="123" t="n">
        <f aca="false">IF(C31="","",BASE_DATA!AQ13*$N$7+BASE_DATA!AP13*$N$8+BASE_DATA!AR13*$N$9+BASE_DATA!AT13*$N$10+BASE_DATA!AS13*$N$11+BASE_DATA!AU13*$N$12)</f>
        <v>0</v>
      </c>
      <c r="J31" s="122" t="n">
        <f aca="false">IF(C31="","",IFERROR(SUMIFS(EVAL_MATCH!E:E,EVAL_MATCH!A:A,A31,EVAL_MATCH!C:C,C31),0))</f>
        <v>3</v>
      </c>
      <c r="K31" s="123" t="n">
        <f aca="false">IF(C31="","",$B$3+F31+G31+H31+I31+J31)</f>
        <v>14.35</v>
      </c>
      <c r="L31" s="124" t="n">
        <f aca="false">IF(C31="","",MIN(20,MAX(0,K31)))</f>
        <v>14.35</v>
      </c>
    </row>
    <row r="32" customFormat="false" ht="13.8" hidden="false" customHeight="false" outlineLevel="0" collapsed="false">
      <c r="A32" s="120" t="str">
        <f aca="false">IFERROR(BASE_DATA!A14,"")</f>
        <v>FRA_CROATIE_M2</v>
      </c>
      <c r="B32" s="121" t="str">
        <f aca="false">IFERROR(BASE_DATA!B14,"")</f>
        <v>Croatie</v>
      </c>
      <c r="C32" s="121" t="str">
        <f aca="false">IFERROR(BASE_DATA!G14,"")</f>
        <v>D. LEFOULON</v>
      </c>
      <c r="D32" s="121" t="str">
        <f aca="false">IFERROR(BASE_DATA!I14,"")</f>
        <v>Gardien</v>
      </c>
      <c r="E32" s="122" t="n">
        <f aca="false">IFERROR(BASE_DATA!R14,"")</f>
        <v>20</v>
      </c>
      <c r="F32" s="123" t="n">
        <f aca="false">IF(C32="","",BASE_DATA!T14*$B$7+BASE_DATA!U14*$B$8+BASE_DATA!W14*$B$9+BASE_DATA!Y14*$B$10+BASE_DATA!X14*$B$11+BASE_DATA!AH14*$B$12+BASE_DATA!AM14*$B$13)</f>
        <v>0</v>
      </c>
      <c r="G32" s="123" t="n">
        <f aca="false">IF(C32="","",BASE_DATA!AN14*$F$7+BASE_DATA!AO14*$F$8+BASE_DATA!AJ14*$F$9)</f>
        <v>0</v>
      </c>
      <c r="H32" s="123" t="n">
        <f aca="false">IF(C32="","",BASE_DATA!AD14*$J$7+BASE_DATA!AG14*$J$8+BASE_DATA!AE14*$J$9+BASE_DATA!AL14*$J$10+BASE_DATA!AB14*$J$11+BASE_DATA!AC14*$J$12+BASE_DATA!AF14*$J$13)</f>
        <v>-1.75</v>
      </c>
      <c r="I32" s="123" t="n">
        <f aca="false">IF(C32="","",BASE_DATA!AQ14*$N$7+BASE_DATA!AP14*$N$8+BASE_DATA!AR14*$N$9+BASE_DATA!AT14*$N$10+BASE_DATA!AS14*$N$11+BASE_DATA!AU14*$N$12)</f>
        <v>4.25</v>
      </c>
      <c r="J32" s="122" t="n">
        <f aca="false">IF(C32="","",IFERROR(SUMIFS(EVAL_MATCH!E:E,EVAL_MATCH!A:A,A32,EVAL_MATCH!C:C,C32),0))</f>
        <v>1.5</v>
      </c>
      <c r="K32" s="123" t="n">
        <f aca="false">IF(C32="","",$B$3+F32+G32+H32+I32+J32)</f>
        <v>14</v>
      </c>
      <c r="L32" s="124" t="n">
        <f aca="false">IF(C32="","",MIN(20,MAX(0,K32)))</f>
        <v>14</v>
      </c>
    </row>
    <row r="33" customFormat="false" ht="13.8" hidden="false" customHeight="false" outlineLevel="0" collapsed="false">
      <c r="A33" s="120" t="str">
        <f aca="false">IFERROR(BASE_DATA!A15,"")</f>
        <v>FRA_CROATIE_M2</v>
      </c>
      <c r="B33" s="121" t="str">
        <f aca="false">IFERROR(BASE_DATA!B15,"")</f>
        <v>Croatie</v>
      </c>
      <c r="C33" s="121" t="str">
        <f aca="false">IFERROR(BASE_DATA!G15,"")</f>
        <v>F. SIMIAND</v>
      </c>
      <c r="D33" s="121" t="str">
        <f aca="false">IFERROR(BASE_DATA!I15,"")</f>
        <v>Ailier</v>
      </c>
      <c r="E33" s="122" t="n">
        <f aca="false">IFERROR(BASE_DATA!R15,"")</f>
        <v>15.6667</v>
      </c>
      <c r="F33" s="123" t="n">
        <f aca="false">IF(C33="","",BASE_DATA!T15*$B$7+BASE_DATA!U15*$B$8+BASE_DATA!W15*$B$9+BASE_DATA!Y15*$B$10+BASE_DATA!X15*$B$11+BASE_DATA!AH15*$B$12+BASE_DATA!AM15*$B$13)</f>
        <v>3.75</v>
      </c>
      <c r="G33" s="123" t="n">
        <f aca="false">IF(C33="","",BASE_DATA!AN15*$F$7+BASE_DATA!AO15*$F$8+BASE_DATA!AJ15*$F$9)</f>
        <v>2</v>
      </c>
      <c r="H33" s="123" t="n">
        <f aca="false">IF(C33="","",BASE_DATA!AD15*$J$7+BASE_DATA!AG15*$J$8+BASE_DATA!AE15*$J$9+BASE_DATA!AL15*$J$10+BASE_DATA!AB15*$J$11+BASE_DATA!AC15*$J$12+BASE_DATA!AF15*$J$13)</f>
        <v>-4.25</v>
      </c>
      <c r="I33" s="123" t="n">
        <f aca="false">IF(C33="","",BASE_DATA!AQ15*$N$7+BASE_DATA!AP15*$N$8+BASE_DATA!AR15*$N$9+BASE_DATA!AT15*$N$10+BASE_DATA!AS15*$N$11+BASE_DATA!AU15*$N$12)</f>
        <v>0</v>
      </c>
      <c r="J33" s="122" t="n">
        <f aca="false">IF(C33="","",IFERROR(SUMIFS(EVAL_MATCH!E:E,EVAL_MATCH!A:A,A33,EVAL_MATCH!C:C,C33),0))</f>
        <v>1.5</v>
      </c>
      <c r="K33" s="123" t="n">
        <f aca="false">IF(C33="","",$B$3+F33+G33+H33+I33+J33)</f>
        <v>13</v>
      </c>
      <c r="L33" s="124" t="n">
        <f aca="false">IF(C33="","",MIN(20,MAX(0,K33)))</f>
        <v>13</v>
      </c>
    </row>
    <row r="34" customFormat="false" ht="13.8" hidden="false" customHeight="false" outlineLevel="0" collapsed="false">
      <c r="A34" s="120" t="str">
        <f aca="false">IFERROR(BASE_DATA!A16,"")</f>
        <v>FRA_CROATIE_M2</v>
      </c>
      <c r="B34" s="121" t="str">
        <f aca="false">IFERROR(BASE_DATA!B16,"")</f>
        <v>Croatie</v>
      </c>
      <c r="C34" s="121" t="str">
        <f aca="false">IFERROR(BASE_DATA!G16,"")</f>
        <v>H. BRAGUE</v>
      </c>
      <c r="D34" s="121" t="str">
        <f aca="false">IFERROR(BASE_DATA!I16,"")</f>
        <v>Ailier</v>
      </c>
      <c r="E34" s="122" t="n">
        <f aca="false">IFERROR(BASE_DATA!R16,"")</f>
        <v>10</v>
      </c>
      <c r="F34" s="123" t="n">
        <f aca="false">IF(C34="","",BASE_DATA!T16*$B$7+BASE_DATA!U16*$B$8+BASE_DATA!W16*$B$9+BASE_DATA!Y16*$B$10+BASE_DATA!X16*$B$11+BASE_DATA!AH16*$B$12+BASE_DATA!AM16*$B$13)</f>
        <v>3.35</v>
      </c>
      <c r="G34" s="123" t="n">
        <f aca="false">IF(C34="","",BASE_DATA!AN16*$F$7+BASE_DATA!AO16*$F$8+BASE_DATA!AJ16*$F$9)</f>
        <v>0.5</v>
      </c>
      <c r="H34" s="123" t="n">
        <f aca="false">IF(C34="","",BASE_DATA!AD16*$J$7+BASE_DATA!AG16*$J$8+BASE_DATA!AE16*$J$9+BASE_DATA!AL16*$J$10+BASE_DATA!AB16*$J$11+BASE_DATA!AC16*$J$12+BASE_DATA!AF16*$J$13)</f>
        <v>-0.75</v>
      </c>
      <c r="I34" s="123" t="n">
        <f aca="false">IF(C34="","",BASE_DATA!AQ16*$N$7+BASE_DATA!AP16*$N$8+BASE_DATA!AR16*$N$9+BASE_DATA!AT16*$N$10+BASE_DATA!AS16*$N$11+BASE_DATA!AU16*$N$12)</f>
        <v>0</v>
      </c>
      <c r="J34" s="122" t="n">
        <f aca="false">IF(C34="","",IFERROR(SUMIFS(EVAL_MATCH!E:E,EVAL_MATCH!A:A,A34,EVAL_MATCH!C:C,C34),0))</f>
        <v>1.5</v>
      </c>
      <c r="K34" s="123" t="n">
        <f aca="false">IF(C34="","",$B$3+F34+G34+H34+I34+J34)</f>
        <v>14.6</v>
      </c>
      <c r="L34" s="124" t="n">
        <f aca="false">IF(C34="","",MIN(20,MAX(0,K34)))</f>
        <v>14.6</v>
      </c>
    </row>
    <row r="35" customFormat="false" ht="13.8" hidden="false" customHeight="false" outlineLevel="0" collapsed="false">
      <c r="A35" s="120" t="str">
        <f aca="false">IFERROR(BASE_DATA!A17,"")</f>
        <v>FRA_CROATIE_M2</v>
      </c>
      <c r="B35" s="121" t="str">
        <f aca="false">IFERROR(BASE_DATA!B17,"")</f>
        <v>Croatie</v>
      </c>
      <c r="C35" s="121" t="str">
        <f aca="false">IFERROR(BASE_DATA!G17,"")</f>
        <v>I. BERRADA</v>
      </c>
      <c r="D35" s="121" t="str">
        <f aca="false">IFERROR(BASE_DATA!I17,"")</f>
        <v>Meneur côté</v>
      </c>
      <c r="E35" s="122" t="n">
        <f aca="false">IFERROR(BASE_DATA!R17,"")</f>
        <v>16.5</v>
      </c>
      <c r="F35" s="123" t="n">
        <f aca="false">IF(C35="","",BASE_DATA!T17*$B$7+BASE_DATA!U17*$B$8+BASE_DATA!W17*$B$9+BASE_DATA!Y17*$B$10+BASE_DATA!X17*$B$11+BASE_DATA!AH17*$B$12+BASE_DATA!AM17*$B$13)</f>
        <v>1.5</v>
      </c>
      <c r="G35" s="123" t="n">
        <f aca="false">IF(C35="","",BASE_DATA!AN17*$F$7+BASE_DATA!AO17*$F$8+BASE_DATA!AJ17*$F$9)</f>
        <v>2.5</v>
      </c>
      <c r="H35" s="123" t="n">
        <f aca="false">IF(C35="","",BASE_DATA!AD17*$J$7+BASE_DATA!AG17*$J$8+BASE_DATA!AE17*$J$9+BASE_DATA!AL17*$J$10+BASE_DATA!AB17*$J$11+BASE_DATA!AC17*$J$12+BASE_DATA!AF17*$J$13)</f>
        <v>-2.75</v>
      </c>
      <c r="I35" s="123" t="n">
        <f aca="false">IF(C35="","",BASE_DATA!AQ17*$N$7+BASE_DATA!AP17*$N$8+BASE_DATA!AR17*$N$9+BASE_DATA!AT17*$N$10+BASE_DATA!AS17*$N$11+BASE_DATA!AU17*$N$12)</f>
        <v>0</v>
      </c>
      <c r="J35" s="122" t="n">
        <f aca="false">IF(C35="","",IFERROR(SUMIFS(EVAL_MATCH!E:E,EVAL_MATCH!A:A,A35,EVAL_MATCH!C:C,C35),0))</f>
        <v>3</v>
      </c>
      <c r="K35" s="123" t="n">
        <f aca="false">IF(C35="","",$B$3+F35+G35+H35+I35+J35)</f>
        <v>14.25</v>
      </c>
      <c r="L35" s="124" t="n">
        <f aca="false">IF(C35="","",MIN(20,MAX(0,K35)))</f>
        <v>14.25</v>
      </c>
    </row>
    <row r="36" customFormat="false" ht="13.8" hidden="false" customHeight="false" outlineLevel="0" collapsed="false">
      <c r="A36" s="120" t="str">
        <f aca="false">IFERROR(BASE_DATA!A18,"")</f>
        <v>FRA_CROATIE_M2</v>
      </c>
      <c r="B36" s="121" t="str">
        <f aca="false">IFERROR(BASE_DATA!B18,"")</f>
        <v>Croatie</v>
      </c>
      <c r="C36" s="121" t="str">
        <f aca="false">IFERROR(BASE_DATA!G18,"")</f>
        <v>K. BOUREBAIA</v>
      </c>
      <c r="D36" s="121" t="str">
        <f aca="false">IFERROR(BASE_DATA!I18,"")</f>
        <v>Gardien</v>
      </c>
      <c r="E36" s="122" t="n">
        <f aca="false">IFERROR(BASE_DATA!R18,"")</f>
        <v>20</v>
      </c>
      <c r="F36" s="123" t="n">
        <f aca="false">IF(C36="","",BASE_DATA!T18*$B$7+BASE_DATA!U18*$B$8+BASE_DATA!W18*$B$9+BASE_DATA!Y18*$B$10+BASE_DATA!X18*$B$11+BASE_DATA!AH18*$B$12+BASE_DATA!AM18*$B$13)</f>
        <v>0</v>
      </c>
      <c r="G36" s="123" t="n">
        <f aca="false">IF(C36="","",BASE_DATA!AN18*$F$7+BASE_DATA!AO18*$F$8+BASE_DATA!AJ18*$F$9)</f>
        <v>0</v>
      </c>
      <c r="H36" s="123" t="n">
        <f aca="false">IF(C36="","",BASE_DATA!AD18*$J$7+BASE_DATA!AG18*$J$8+BASE_DATA!AE18*$J$9+BASE_DATA!AL18*$J$10+BASE_DATA!AB18*$J$11+BASE_DATA!AC18*$J$12+BASE_DATA!AF18*$J$13)</f>
        <v>-0</v>
      </c>
      <c r="I36" s="123" t="n">
        <f aca="false">IF(C36="","",BASE_DATA!AQ18*$N$7+BASE_DATA!AP18*$N$8+BASE_DATA!AR18*$N$9+BASE_DATA!AT18*$N$10+BASE_DATA!AS18*$N$11+BASE_DATA!AU18*$N$12)</f>
        <v>3</v>
      </c>
      <c r="J36" s="122" t="n">
        <f aca="false">IF(C36="","",IFERROR(SUMIFS(EVAL_MATCH!E:E,EVAL_MATCH!A:A,A36,EVAL_MATCH!C:C,C36),0))</f>
        <v>0</v>
      </c>
      <c r="K36" s="123" t="n">
        <f aca="false">IF(C36="","",$B$3+F36+G36+H36+I36+J36)</f>
        <v>13</v>
      </c>
      <c r="L36" s="124" t="n">
        <f aca="false">IF(C36="","",MIN(20,MAX(0,K36)))</f>
        <v>13</v>
      </c>
    </row>
    <row r="37" customFormat="false" ht="13.8" hidden="false" customHeight="false" outlineLevel="0" collapsed="false">
      <c r="A37" s="120" t="str">
        <f aca="false">IFERROR(BASE_DATA!A19,"")</f>
        <v>FRA_CROATIE_M2</v>
      </c>
      <c r="B37" s="121" t="str">
        <f aca="false">IFERROR(BASE_DATA!B19,"")</f>
        <v>Croatie</v>
      </c>
      <c r="C37" s="121" t="str">
        <f aca="false">IFERROR(BASE_DATA!G19,"")</f>
        <v>K. DA ROCHA</v>
      </c>
      <c r="D37" s="121" t="str">
        <f aca="false">IFERROR(BASE_DATA!I19,"")</f>
        <v>Meneur côté</v>
      </c>
      <c r="E37" s="122" t="n">
        <f aca="false">IFERROR(BASE_DATA!R19,"")</f>
        <v>12</v>
      </c>
      <c r="F37" s="123" t="n">
        <f aca="false">IF(C37="","",BASE_DATA!T19*$B$7+BASE_DATA!U19*$B$8+BASE_DATA!W19*$B$9+BASE_DATA!Y19*$B$10+BASE_DATA!X19*$B$11+BASE_DATA!AH19*$B$12+BASE_DATA!AM19*$B$13)</f>
        <v>1.6</v>
      </c>
      <c r="G37" s="123" t="n">
        <f aca="false">IF(C37="","",BASE_DATA!AN19*$F$7+BASE_DATA!AO19*$F$8+BASE_DATA!AJ19*$F$9)</f>
        <v>1</v>
      </c>
      <c r="H37" s="123" t="n">
        <f aca="false">IF(C37="","",BASE_DATA!AD19*$J$7+BASE_DATA!AG19*$J$8+BASE_DATA!AE19*$J$9+BASE_DATA!AL19*$J$10+BASE_DATA!AB19*$J$11+BASE_DATA!AC19*$J$12+BASE_DATA!AF19*$J$13)</f>
        <v>-0.75</v>
      </c>
      <c r="I37" s="123" t="n">
        <f aca="false">IF(C37="","",BASE_DATA!AQ19*$N$7+BASE_DATA!AP19*$N$8+BASE_DATA!AR19*$N$9+BASE_DATA!AT19*$N$10+BASE_DATA!AS19*$N$11+BASE_DATA!AU19*$N$12)</f>
        <v>0</v>
      </c>
      <c r="J37" s="122" t="n">
        <f aca="false">IF(C37="","",IFERROR(SUMIFS(EVAL_MATCH!E:E,EVAL_MATCH!A:A,A37,EVAL_MATCH!C:C,C37),0))</f>
        <v>0</v>
      </c>
      <c r="K37" s="123" t="n">
        <f aca="false">IF(C37="","",$B$3+F37+G37+H37+I37+J37)</f>
        <v>11.85</v>
      </c>
      <c r="L37" s="124" t="n">
        <f aca="false">IF(C37="","",MIN(20,MAX(0,K37)))</f>
        <v>11.85</v>
      </c>
    </row>
    <row r="38" customFormat="false" ht="13.8" hidden="false" customHeight="false" outlineLevel="0" collapsed="false">
      <c r="A38" s="120" t="str">
        <f aca="false">IFERROR(BASE_DATA!A20,"")</f>
        <v>FRA_CROATIE_M2</v>
      </c>
      <c r="B38" s="121" t="str">
        <f aca="false">IFERROR(BASE_DATA!B20,"")</f>
        <v>Croatie</v>
      </c>
      <c r="C38" s="121" t="str">
        <f aca="false">IFERROR(BASE_DATA!G20,"")</f>
        <v>L. LADIRE</v>
      </c>
      <c r="D38" s="121" t="str">
        <f aca="false">IFERROR(BASE_DATA!I20,"")</f>
        <v>Meneur</v>
      </c>
      <c r="E38" s="122" t="n">
        <f aca="false">IFERROR(BASE_DATA!R20,"")</f>
        <v>18.5</v>
      </c>
      <c r="F38" s="123" t="n">
        <f aca="false">IF(C38="","",BASE_DATA!T20*$B$7+BASE_DATA!U20*$B$8+BASE_DATA!W20*$B$9+BASE_DATA!Y20*$B$10+BASE_DATA!X20*$B$11+BASE_DATA!AH20*$B$12+BASE_DATA!AM20*$B$13)</f>
        <v>3.45</v>
      </c>
      <c r="G38" s="123" t="n">
        <f aca="false">IF(C38="","",BASE_DATA!AN20*$F$7+BASE_DATA!AO20*$F$8+BASE_DATA!AJ20*$F$9)</f>
        <v>2.5</v>
      </c>
      <c r="H38" s="123" t="n">
        <f aca="false">IF(C38="","",BASE_DATA!AD20*$J$7+BASE_DATA!AG20*$J$8+BASE_DATA!AE20*$J$9+BASE_DATA!AL20*$J$10+BASE_DATA!AB20*$J$11+BASE_DATA!AC20*$J$12+BASE_DATA!AF20*$J$13)</f>
        <v>-4</v>
      </c>
      <c r="I38" s="123" t="n">
        <f aca="false">IF(C38="","",BASE_DATA!AQ20*$N$7+BASE_DATA!AP20*$N$8+BASE_DATA!AR20*$N$9+BASE_DATA!AT20*$N$10+BASE_DATA!AS20*$N$11+BASE_DATA!AU20*$N$12)</f>
        <v>0</v>
      </c>
      <c r="J38" s="122" t="n">
        <f aca="false">IF(C38="","",IFERROR(SUMIFS(EVAL_MATCH!E:E,EVAL_MATCH!A:A,A38,EVAL_MATCH!C:C,C38),0))</f>
        <v>1.5</v>
      </c>
      <c r="K38" s="123" t="n">
        <f aca="false">IF(C38="","",$B$3+F38+G38+H38+I38+J38)</f>
        <v>13.45</v>
      </c>
      <c r="L38" s="124" t="n">
        <f aca="false">IF(C38="","",MIN(20,MAX(0,K38)))</f>
        <v>13.45</v>
      </c>
    </row>
    <row r="39" customFormat="false" ht="13.8" hidden="false" customHeight="false" outlineLevel="0" collapsed="false">
      <c r="A39" s="120" t="str">
        <f aca="false">IFERROR(BASE_DATA!A21,"")</f>
        <v>FRA_CROATIE_M2</v>
      </c>
      <c r="B39" s="121" t="str">
        <f aca="false">IFERROR(BASE_DATA!B21,"")</f>
        <v>Croatie</v>
      </c>
      <c r="C39" s="121" t="str">
        <f aca="false">IFERROR(BASE_DATA!G21,"")</f>
        <v>L. RAHO MOUSSA</v>
      </c>
      <c r="D39" s="121" t="str">
        <f aca="false">IFERROR(BASE_DATA!I21,"")</f>
        <v>Ailier</v>
      </c>
      <c r="E39" s="122" t="n">
        <f aca="false">IFERROR(BASE_DATA!R21,"")</f>
        <v>18</v>
      </c>
      <c r="F39" s="123" t="n">
        <f aca="false">IF(C39="","",BASE_DATA!T21*$B$7+BASE_DATA!U21*$B$8+BASE_DATA!W21*$B$9+BASE_DATA!Y21*$B$10+BASE_DATA!X21*$B$11+BASE_DATA!AH21*$B$12+BASE_DATA!AM21*$B$13)</f>
        <v>12.8</v>
      </c>
      <c r="G39" s="123" t="n">
        <f aca="false">IF(C39="","",BASE_DATA!AN21*$F$7+BASE_DATA!AO21*$F$8+BASE_DATA!AJ21*$F$9)</f>
        <v>1.5</v>
      </c>
      <c r="H39" s="123" t="n">
        <f aca="false">IF(C39="","",BASE_DATA!AD21*$J$7+BASE_DATA!AG21*$J$8+BASE_DATA!AE21*$J$9+BASE_DATA!AL21*$J$10+BASE_DATA!AB21*$J$11+BASE_DATA!AC21*$J$12+BASE_DATA!AF21*$J$13)</f>
        <v>-3.75</v>
      </c>
      <c r="I39" s="123" t="n">
        <f aca="false">IF(C39="","",BASE_DATA!AQ21*$N$7+BASE_DATA!AP21*$N$8+BASE_DATA!AR21*$N$9+BASE_DATA!AT21*$N$10+BASE_DATA!AS21*$N$11+BASE_DATA!AU21*$N$12)</f>
        <v>0</v>
      </c>
      <c r="J39" s="122" t="n">
        <f aca="false">IF(C39="","",IFERROR(SUMIFS(EVAL_MATCH!E:E,EVAL_MATCH!A:A,A39,EVAL_MATCH!C:C,C39),0))</f>
        <v>3</v>
      </c>
      <c r="K39" s="123" t="n">
        <f aca="false">IF(C39="","",$B$3+F39+G39+H39+I39+J39)</f>
        <v>23.55</v>
      </c>
      <c r="L39" s="124" t="n">
        <f aca="false">IF(C39="","",MIN(20,MAX(0,K39)))</f>
        <v>20</v>
      </c>
    </row>
    <row r="40" customFormat="false" ht="13.8" hidden="false" customHeight="false" outlineLevel="0" collapsed="false">
      <c r="A40" s="120" t="str">
        <f aca="false">IFERROR(BASE_DATA!A22,"")</f>
        <v>FRA_CROATIE_M2</v>
      </c>
      <c r="B40" s="121" t="str">
        <f aca="false">IFERROR(BASE_DATA!B22,"")</f>
        <v>Croatie</v>
      </c>
      <c r="C40" s="121" t="str">
        <f aca="false">IFERROR(BASE_DATA!G22,"")</f>
        <v>M. TRAORE</v>
      </c>
      <c r="D40" s="121" t="str">
        <f aca="false">IFERROR(BASE_DATA!I22,"")</f>
        <v>Pivot</v>
      </c>
      <c r="E40" s="122" t="n">
        <f aca="false">IFERROR(BASE_DATA!R22,"")</f>
        <v>10.8333</v>
      </c>
      <c r="F40" s="123" t="n">
        <f aca="false">IF(C40="","",BASE_DATA!T22*$B$7+BASE_DATA!U22*$B$8+BASE_DATA!W22*$B$9+BASE_DATA!Y22*$B$10+BASE_DATA!X22*$B$11+BASE_DATA!AH22*$B$12+BASE_DATA!AM22*$B$13)</f>
        <v>1.45</v>
      </c>
      <c r="G40" s="123" t="n">
        <f aca="false">IF(C40="","",BASE_DATA!AN22*$F$7+BASE_DATA!AO22*$F$8+BASE_DATA!AJ22*$F$9)</f>
        <v>0</v>
      </c>
      <c r="H40" s="123" t="n">
        <f aca="false">IF(C40="","",BASE_DATA!AD22*$J$7+BASE_DATA!AG22*$J$8+BASE_DATA!AE22*$J$9+BASE_DATA!AL22*$J$10+BASE_DATA!AB22*$J$11+BASE_DATA!AC22*$J$12+BASE_DATA!AF22*$J$13)</f>
        <v>-2</v>
      </c>
      <c r="I40" s="123" t="n">
        <f aca="false">IF(C40="","",BASE_DATA!AQ22*$N$7+BASE_DATA!AP22*$N$8+BASE_DATA!AR22*$N$9+BASE_DATA!AT22*$N$10+BASE_DATA!AS22*$N$11+BASE_DATA!AU22*$N$12)</f>
        <v>0</v>
      </c>
      <c r="J40" s="122" t="n">
        <f aca="false">IF(C40="","",IFERROR(SUMIFS(EVAL_MATCH!E:E,EVAL_MATCH!A:A,A40,EVAL_MATCH!C:C,C40),0))</f>
        <v>3</v>
      </c>
      <c r="K40" s="123" t="n">
        <f aca="false">IF(C40="","",$B$3+F40+G40+H40+I40+J40)</f>
        <v>12.45</v>
      </c>
      <c r="L40" s="124" t="n">
        <f aca="false">IF(C40="","",MIN(20,MAX(0,K40)))</f>
        <v>12.45</v>
      </c>
    </row>
    <row r="41" customFormat="false" ht="13.8" hidden="false" customHeight="false" outlineLevel="0" collapsed="false">
      <c r="A41" s="120" t="str">
        <f aca="false">IFERROR(BASE_DATA!A23,"")</f>
        <v>FRA_CROATIE_M2</v>
      </c>
      <c r="B41" s="121" t="str">
        <f aca="false">IFERROR(BASE_DATA!B23,"")</f>
        <v>Croatie</v>
      </c>
      <c r="C41" s="121" t="str">
        <f aca="false">IFERROR(BASE_DATA!G23,"")</f>
        <v>O. KAMISSOKO</v>
      </c>
      <c r="D41" s="121" t="str">
        <f aca="false">IFERROR(BASE_DATA!I23,"")</f>
        <v>Ailier</v>
      </c>
      <c r="E41" s="122" t="n">
        <f aca="false">IFERROR(BASE_DATA!R23,"")</f>
        <v>10</v>
      </c>
      <c r="F41" s="123" t="n">
        <f aca="false">IF(C41="","",BASE_DATA!T23*$B$7+BASE_DATA!U23*$B$8+BASE_DATA!W23*$B$9+BASE_DATA!Y23*$B$10+BASE_DATA!X23*$B$11+BASE_DATA!AH23*$B$12+BASE_DATA!AM23*$B$13)</f>
        <v>0.5</v>
      </c>
      <c r="G41" s="123" t="n">
        <f aca="false">IF(C41="","",BASE_DATA!AN23*$F$7+BASE_DATA!AO23*$F$8+BASE_DATA!AJ23*$F$9)</f>
        <v>1.5</v>
      </c>
      <c r="H41" s="123" t="n">
        <f aca="false">IF(C41="","",BASE_DATA!AD23*$J$7+BASE_DATA!AG23*$J$8+BASE_DATA!AE23*$J$9+BASE_DATA!AL23*$J$10+BASE_DATA!AB23*$J$11+BASE_DATA!AC23*$J$12+BASE_DATA!AF23*$J$13)</f>
        <v>-1.5</v>
      </c>
      <c r="I41" s="123" t="n">
        <f aca="false">IF(C41="","",BASE_DATA!AQ23*$N$7+BASE_DATA!AP23*$N$8+BASE_DATA!AR23*$N$9+BASE_DATA!AT23*$N$10+BASE_DATA!AS23*$N$11+BASE_DATA!AU23*$N$12)</f>
        <v>0</v>
      </c>
      <c r="J41" s="122" t="n">
        <f aca="false">IF(C41="","",IFERROR(SUMIFS(EVAL_MATCH!E:E,EVAL_MATCH!A:A,A41,EVAL_MATCH!C:C,C41),0))</f>
        <v>1.5</v>
      </c>
      <c r="K41" s="123" t="n">
        <f aca="false">IF(C41="","",$B$3+F41+G41+H41+I41+J41)</f>
        <v>12</v>
      </c>
      <c r="L41" s="124" t="n">
        <f aca="false">IF(C41="","",MIN(20,MAX(0,K41)))</f>
        <v>12</v>
      </c>
    </row>
    <row r="42" customFormat="false" ht="13.8" hidden="false" customHeight="false" outlineLevel="0" collapsed="false">
      <c r="A42" s="120" t="str">
        <f aca="false">IFERROR(BASE_DATA!A24,"")</f>
        <v>FRA_CROATIE_M2</v>
      </c>
      <c r="B42" s="121" t="str">
        <f aca="false">IFERROR(BASE_DATA!B24,"")</f>
        <v>Croatie</v>
      </c>
      <c r="C42" s="121" t="str">
        <f aca="false">IFERROR(BASE_DATA!G24,"")</f>
        <v>S. CARFACHE</v>
      </c>
      <c r="D42" s="121" t="str">
        <f aca="false">IFERROR(BASE_DATA!I24,"")</f>
        <v>Meneur</v>
      </c>
      <c r="E42" s="122" t="n">
        <f aca="false">IFERROR(BASE_DATA!R24,"")</f>
        <v>9.5</v>
      </c>
      <c r="F42" s="123" t="n">
        <f aca="false">IF(C42="","",BASE_DATA!T24*$B$7+BASE_DATA!U24*$B$8+BASE_DATA!W24*$B$9+BASE_DATA!Y24*$B$10+BASE_DATA!X24*$B$11+BASE_DATA!AH24*$B$12+BASE_DATA!AM24*$B$13)</f>
        <v>1.45</v>
      </c>
      <c r="G42" s="123" t="n">
        <f aca="false">IF(C42="","",BASE_DATA!AN24*$F$7+BASE_DATA!AO24*$F$8+BASE_DATA!AJ24*$F$9)</f>
        <v>2.5</v>
      </c>
      <c r="H42" s="123" t="n">
        <f aca="false">IF(C42="","",BASE_DATA!AD24*$J$7+BASE_DATA!AG24*$J$8+BASE_DATA!AE24*$J$9+BASE_DATA!AL24*$J$10+BASE_DATA!AB24*$J$11+BASE_DATA!AC24*$J$12+BASE_DATA!AF24*$J$13)</f>
        <v>-1.5</v>
      </c>
      <c r="I42" s="123" t="n">
        <f aca="false">IF(C42="","",BASE_DATA!AQ24*$N$7+BASE_DATA!AP24*$N$8+BASE_DATA!AR24*$N$9+BASE_DATA!AT24*$N$10+BASE_DATA!AS24*$N$11+BASE_DATA!AU24*$N$12)</f>
        <v>0</v>
      </c>
      <c r="J42" s="122" t="n">
        <f aca="false">IF(C42="","",IFERROR(SUMIFS(EVAL_MATCH!E:E,EVAL_MATCH!A:A,A42,EVAL_MATCH!C:C,C42),0))</f>
        <v>1.5</v>
      </c>
      <c r="K42" s="123" t="n">
        <f aca="false">IF(C42="","",$B$3+F42+G42+H42+I42+J42)</f>
        <v>13.95</v>
      </c>
      <c r="L42" s="124" t="n">
        <f aca="false">IF(C42="","",MIN(20,MAX(0,K42)))</f>
        <v>13.95</v>
      </c>
    </row>
    <row r="43" customFormat="false" ht="13.8" hidden="false" customHeight="false" outlineLevel="0" collapsed="false">
      <c r="A43" s="120" t="str">
        <f aca="false">IFERROR(BASE_DATA!A25,"")</f>
        <v>FRA_CROATIE_M2</v>
      </c>
      <c r="B43" s="121" t="str">
        <f aca="false">IFERROR(BASE_DATA!B25,"")</f>
        <v>Croatie</v>
      </c>
      <c r="C43" s="121" t="str">
        <f aca="false">IFERROR(BASE_DATA!G25,"")</f>
        <v>T. FERREIRA</v>
      </c>
      <c r="D43" s="121" t="str">
        <f aca="false">IFERROR(BASE_DATA!I25,"")</f>
        <v>Meneur</v>
      </c>
      <c r="E43" s="122" t="n">
        <f aca="false">IFERROR(BASE_DATA!R25,"")</f>
        <v>10.5</v>
      </c>
      <c r="F43" s="123" t="n">
        <f aca="false">IF(C43="","",BASE_DATA!T25*$B$7+BASE_DATA!U25*$B$8+BASE_DATA!W25*$B$9+BASE_DATA!Y25*$B$10+BASE_DATA!X25*$B$11+BASE_DATA!AH25*$B$12+BASE_DATA!AM25*$B$13)</f>
        <v>4.6</v>
      </c>
      <c r="G43" s="123" t="n">
        <f aca="false">IF(C43="","",BASE_DATA!AN25*$F$7+BASE_DATA!AO25*$F$8+BASE_DATA!AJ25*$F$9)</f>
        <v>2</v>
      </c>
      <c r="H43" s="123" t="n">
        <f aca="false">IF(C43="","",BASE_DATA!AD25*$J$7+BASE_DATA!AG25*$J$8+BASE_DATA!AE25*$J$9+BASE_DATA!AL25*$J$10+BASE_DATA!AB25*$J$11+BASE_DATA!AC25*$J$12+BASE_DATA!AF25*$J$13)</f>
        <v>-2.75</v>
      </c>
      <c r="I43" s="123" t="n">
        <f aca="false">IF(C43="","",BASE_DATA!AQ25*$N$7+BASE_DATA!AP25*$N$8+BASE_DATA!AR25*$N$9+BASE_DATA!AT25*$N$10+BASE_DATA!AS25*$N$11+BASE_DATA!AU25*$N$12)</f>
        <v>0</v>
      </c>
      <c r="J43" s="122" t="n">
        <f aca="false">IF(C43="","",IFERROR(SUMIFS(EVAL_MATCH!E:E,EVAL_MATCH!A:A,A43,EVAL_MATCH!C:C,C43),0))</f>
        <v>1.5</v>
      </c>
      <c r="K43" s="123" t="n">
        <f aca="false">IF(C43="","",$B$3+F43+G43+H43+I43+J43)</f>
        <v>15.35</v>
      </c>
      <c r="L43" s="124" t="n">
        <f aca="false">IF(C43="","",MIN(20,MAX(0,K43)))</f>
        <v>15.35</v>
      </c>
    </row>
    <row r="44" customFormat="false" ht="13.8" hidden="false" customHeight="false" outlineLevel="0" collapsed="false">
      <c r="A44" s="120" t="str">
        <f aca="false">IFERROR(BASE_DATA!A26,"")</f>
        <v>FRA_CROATIE_M2</v>
      </c>
      <c r="B44" s="121" t="str">
        <f aca="false">IFERROR(BASE_DATA!B26,"")</f>
        <v>Croatie</v>
      </c>
      <c r="C44" s="121" t="str">
        <f aca="false">IFERROR(BASE_DATA!G26,"")</f>
        <v>Y. EL KAIM BILLAH</v>
      </c>
      <c r="D44" s="121" t="str">
        <f aca="false">IFERROR(BASE_DATA!I26,"")</f>
        <v>Pivot</v>
      </c>
      <c r="E44" s="122" t="n">
        <f aca="false">IFERROR(BASE_DATA!R26,"")</f>
        <v>10.5</v>
      </c>
      <c r="F44" s="123" t="n">
        <f aca="false">IF(C44="","",BASE_DATA!T26*$B$7+BASE_DATA!U26*$B$8+BASE_DATA!W26*$B$9+BASE_DATA!Y26*$B$10+BASE_DATA!X26*$B$11+BASE_DATA!AH26*$B$12+BASE_DATA!AM26*$B$13)</f>
        <v>1.35</v>
      </c>
      <c r="G44" s="123" t="n">
        <f aca="false">IF(C44="","",BASE_DATA!AN26*$F$7+BASE_DATA!AO26*$F$8+BASE_DATA!AJ26*$F$9)</f>
        <v>0</v>
      </c>
      <c r="H44" s="123" t="n">
        <f aca="false">IF(C44="","",BASE_DATA!AD26*$J$7+BASE_DATA!AG26*$J$8+BASE_DATA!AE26*$J$9+BASE_DATA!AL26*$J$10+BASE_DATA!AB26*$J$11+BASE_DATA!AC26*$J$12+BASE_DATA!AF26*$J$13)</f>
        <v>-1.25</v>
      </c>
      <c r="I44" s="123" t="n">
        <f aca="false">IF(C44="","",BASE_DATA!AQ26*$N$7+BASE_DATA!AP26*$N$8+BASE_DATA!AR26*$N$9+BASE_DATA!AT26*$N$10+BASE_DATA!AS26*$N$11+BASE_DATA!AU26*$N$12)</f>
        <v>0</v>
      </c>
      <c r="J44" s="122" t="n">
        <f aca="false">IF(C44="","",IFERROR(SUMIFS(EVAL_MATCH!E:E,EVAL_MATCH!A:A,A44,EVAL_MATCH!C:C,C44),0))</f>
        <v>1.5</v>
      </c>
      <c r="K44" s="123" t="n">
        <f aca="false">IF(C44="","",$B$3+F44+G44+H44+I44+J44)</f>
        <v>11.6</v>
      </c>
      <c r="L44" s="124" t="n">
        <f aca="false">IF(C44="","",MIN(20,MAX(0,K44)))</f>
        <v>11.6</v>
      </c>
    </row>
    <row r="45" customFormat="false" ht="13.8" hidden="false" customHeight="false" outlineLevel="0" collapsed="false">
      <c r="A45" s="120" t="str">
        <f aca="false">IFERROR(BASE_DATA!A27,"")</f>
        <v>FRA_CROATIE_M2</v>
      </c>
      <c r="B45" s="121" t="str">
        <f aca="false">IFERROR(BASE_DATA!B27,"")</f>
        <v>Croatie</v>
      </c>
      <c r="C45" s="121" t="str">
        <f aca="false">IFERROR(BASE_DATA!G27,"")</f>
        <v>Z. CHAKRI</v>
      </c>
      <c r="D45" s="121" t="str">
        <f aca="false">IFERROR(BASE_DATA!I27,"")</f>
        <v>Pivot</v>
      </c>
      <c r="E45" s="122" t="n">
        <f aca="false">IFERROR(BASE_DATA!R27,"")</f>
        <v>15</v>
      </c>
      <c r="F45" s="123" t="n">
        <f aca="false">IF(C45="","",BASE_DATA!T27*$B$7+BASE_DATA!U27*$B$8+BASE_DATA!W27*$B$9+BASE_DATA!Y27*$B$10+BASE_DATA!X27*$B$11+BASE_DATA!AH27*$B$12+BASE_DATA!AM27*$B$13)</f>
        <v>1.25</v>
      </c>
      <c r="G45" s="123" t="n">
        <f aca="false">IF(C45="","",BASE_DATA!AN27*$F$7+BASE_DATA!AO27*$F$8+BASE_DATA!AJ27*$F$9)</f>
        <v>1</v>
      </c>
      <c r="H45" s="123" t="n">
        <f aca="false">IF(C45="","",BASE_DATA!AD27*$J$7+BASE_DATA!AG27*$J$8+BASE_DATA!AE27*$J$9+BASE_DATA!AL27*$J$10+BASE_DATA!AB27*$J$11+BASE_DATA!AC27*$J$12+BASE_DATA!AF27*$J$13)</f>
        <v>-1.5</v>
      </c>
      <c r="I45" s="123" t="n">
        <f aca="false">IF(C45="","",BASE_DATA!AQ27*$N$7+BASE_DATA!AP27*$N$8+BASE_DATA!AR27*$N$9+BASE_DATA!AT27*$N$10+BASE_DATA!AS27*$N$11+BASE_DATA!AU27*$N$12)</f>
        <v>0</v>
      </c>
      <c r="J45" s="122" t="n">
        <f aca="false">IF(C45="","",IFERROR(SUMIFS(EVAL_MATCH!E:E,EVAL_MATCH!A:A,A45,EVAL_MATCH!C:C,C45),0))</f>
        <v>0</v>
      </c>
      <c r="K45" s="123" t="n">
        <f aca="false">IF(C45="","",$B$3+F45+G45+H45+I45+J45)</f>
        <v>10.75</v>
      </c>
      <c r="L45" s="124" t="n">
        <f aca="false">IF(C45="","",MIN(20,MAX(0,K45)))</f>
        <v>10.75</v>
      </c>
    </row>
    <row r="46" customFormat="false" ht="13.8" hidden="false" customHeight="false" outlineLevel="0" collapsed="false">
      <c r="A46" s="120" t="str">
        <f aca="false">IFERROR(BASE_DATA!A28,"")</f>
        <v>FRA_PORTUGAL_M1</v>
      </c>
      <c r="B46" s="121" t="str">
        <f aca="false">IFERROR(BASE_DATA!B28,"")</f>
        <v>Portugal</v>
      </c>
      <c r="C46" s="121" t="str">
        <f aca="false">IFERROR(BASE_DATA!G28,"")</f>
        <v>A. HENRY</v>
      </c>
      <c r="D46" s="121" t="str">
        <f aca="false">IFERROR(BASE_DATA!I28,"")</f>
        <v>Ailier</v>
      </c>
      <c r="E46" s="122" t="n">
        <f aca="false">IFERROR(BASE_DATA!R28,"")</f>
        <v>9.0667</v>
      </c>
      <c r="F46" s="123" t="n">
        <f aca="false">IF(C46="","",BASE_DATA!T28*$B$7+BASE_DATA!U28*$B$8+BASE_DATA!W28*$B$9+BASE_DATA!Y28*$B$10+BASE_DATA!X28*$B$11+BASE_DATA!AH28*$B$12+BASE_DATA!AM28*$B$13)</f>
        <v>1.25</v>
      </c>
      <c r="G46" s="123" t="n">
        <f aca="false">IF(C46="","",BASE_DATA!AN28*$F$7+BASE_DATA!AO28*$F$8+BASE_DATA!AJ28*$F$9)</f>
        <v>1</v>
      </c>
      <c r="H46" s="123" t="n">
        <f aca="false">IF(C46="","",BASE_DATA!AD28*$J$7+BASE_DATA!AG28*$J$8+BASE_DATA!AE28*$J$9+BASE_DATA!AL28*$J$10+BASE_DATA!AB28*$J$11+BASE_DATA!AC28*$J$12+BASE_DATA!AF28*$J$13)</f>
        <v>-2.5</v>
      </c>
      <c r="I46" s="123" t="n">
        <f aca="false">IF(C46="","",BASE_DATA!AQ28*$N$7+BASE_DATA!AP28*$N$8+BASE_DATA!AR28*$N$9+BASE_DATA!AT28*$N$10+BASE_DATA!AS28*$N$11+BASE_DATA!AU28*$N$12)</f>
        <v>0</v>
      </c>
      <c r="J46" s="122" t="n">
        <f aca="false">IF(C46="","",IFERROR(SUMIFS(EVAL_MATCH!E:E,EVAL_MATCH!A:A,A46,EVAL_MATCH!C:C,C46),0))</f>
        <v>0</v>
      </c>
      <c r="K46" s="123" t="n">
        <f aca="false">IF(C46="","",$B$3+F46+G46+H46+I46+J46)</f>
        <v>9.75</v>
      </c>
      <c r="L46" s="124" t="n">
        <f aca="false">IF(C46="","",MIN(20,MAX(0,K46)))</f>
        <v>9.75</v>
      </c>
    </row>
    <row r="47" customFormat="false" ht="13.8" hidden="false" customHeight="false" outlineLevel="0" collapsed="false">
      <c r="A47" s="120" t="str">
        <f aca="false">IFERROR(BASE_DATA!A29,"")</f>
        <v>FRA_PORTUGAL_M1</v>
      </c>
      <c r="B47" s="121" t="str">
        <f aca="false">IFERROR(BASE_DATA!B29,"")</f>
        <v>Portugal</v>
      </c>
      <c r="C47" s="121" t="str">
        <f aca="false">IFERROR(BASE_DATA!G29,"")</f>
        <v>E. MOHAMED</v>
      </c>
      <c r="D47" s="121" t="str">
        <f aca="false">IFERROR(BASE_DATA!I29,"")</f>
        <v>Meneur</v>
      </c>
      <c r="E47" s="122" t="n">
        <f aca="false">IFERROR(BASE_DATA!R29,"")</f>
        <v>18.5</v>
      </c>
      <c r="F47" s="123" t="n">
        <f aca="false">IF(C47="","",BASE_DATA!T29*$B$7+BASE_DATA!U29*$B$8+BASE_DATA!W29*$B$9+BASE_DATA!Y29*$B$10+BASE_DATA!X29*$B$11+BASE_DATA!AH29*$B$12+BASE_DATA!AM29*$B$13)</f>
        <v>12.75</v>
      </c>
      <c r="G47" s="123" t="n">
        <f aca="false">IF(C47="","",BASE_DATA!AN29*$F$7+BASE_DATA!AO29*$F$8+BASE_DATA!AJ29*$F$9)</f>
        <v>2.5</v>
      </c>
      <c r="H47" s="123" t="n">
        <f aca="false">IF(C47="","",BASE_DATA!AD29*$J$7+BASE_DATA!AG29*$J$8+BASE_DATA!AE29*$J$9+BASE_DATA!AL29*$J$10+BASE_DATA!AB29*$J$11+BASE_DATA!AC29*$J$12+BASE_DATA!AF29*$J$13)</f>
        <v>-2.25</v>
      </c>
      <c r="I47" s="123" t="n">
        <f aca="false">IF(C47="","",BASE_DATA!AQ29*$N$7+BASE_DATA!AP29*$N$8+BASE_DATA!AR29*$N$9+BASE_DATA!AT29*$N$10+BASE_DATA!AS29*$N$11+BASE_DATA!AU29*$N$12)</f>
        <v>0</v>
      </c>
      <c r="J47" s="122" t="n">
        <f aca="false">IF(C47="","",IFERROR(SUMIFS(EVAL_MATCH!E:E,EVAL_MATCH!A:A,A47,EVAL_MATCH!C:C,C47),0))</f>
        <v>0</v>
      </c>
      <c r="K47" s="123" t="n">
        <f aca="false">IF(C47="","",$B$3+F47+G47+H47+I47+J47)</f>
        <v>23</v>
      </c>
      <c r="L47" s="124" t="n">
        <f aca="false">IF(C47="","",MIN(20,MAX(0,K47)))</f>
        <v>20</v>
      </c>
    </row>
    <row r="48" customFormat="false" ht="13.8" hidden="false" customHeight="false" outlineLevel="0" collapsed="false">
      <c r="A48" s="120" t="str">
        <f aca="false">IFERROR(BASE_DATA!A30,"")</f>
        <v>FRA_PORTUGAL_M1</v>
      </c>
      <c r="B48" s="121" t="str">
        <f aca="false">IFERROR(BASE_DATA!B30,"")</f>
        <v>Portugal</v>
      </c>
      <c r="C48" s="121" t="str">
        <f aca="false">IFERROR(BASE_DATA!G30,"")</f>
        <v>F. BADAD</v>
      </c>
      <c r="D48" s="121" t="str">
        <f aca="false">IFERROR(BASE_DATA!I30,"")</f>
        <v>Meneur côté</v>
      </c>
      <c r="E48" s="122" t="n">
        <f aca="false">IFERROR(BASE_DATA!R30,"")</f>
        <v>9.45</v>
      </c>
      <c r="F48" s="123" t="n">
        <f aca="false">IF(C48="","",BASE_DATA!T30*$B$7+BASE_DATA!U30*$B$8+BASE_DATA!W30*$B$9+BASE_DATA!Y30*$B$10+BASE_DATA!X30*$B$11+BASE_DATA!AH30*$B$12+BASE_DATA!AM30*$B$13)</f>
        <v>2.25</v>
      </c>
      <c r="G48" s="123" t="n">
        <f aca="false">IF(C48="","",BASE_DATA!AN30*$F$7+BASE_DATA!AO30*$F$8+BASE_DATA!AJ30*$F$9)</f>
        <v>0.5</v>
      </c>
      <c r="H48" s="123" t="n">
        <f aca="false">IF(C48="","",BASE_DATA!AD30*$J$7+BASE_DATA!AG30*$J$8+BASE_DATA!AE30*$J$9+BASE_DATA!AL30*$J$10+BASE_DATA!AB30*$J$11+BASE_DATA!AC30*$J$12+BASE_DATA!AF30*$J$13)</f>
        <v>-3.75</v>
      </c>
      <c r="I48" s="123" t="n">
        <f aca="false">IF(C48="","",BASE_DATA!AQ30*$N$7+BASE_DATA!AP30*$N$8+BASE_DATA!AR30*$N$9+BASE_DATA!AT30*$N$10+BASE_DATA!AS30*$N$11+BASE_DATA!AU30*$N$12)</f>
        <v>0</v>
      </c>
      <c r="J48" s="122" t="n">
        <f aca="false">IF(C48="","",IFERROR(SUMIFS(EVAL_MATCH!E:E,EVAL_MATCH!A:A,A48,EVAL_MATCH!C:C,C48),0))</f>
        <v>1.5</v>
      </c>
      <c r="K48" s="123" t="n">
        <f aca="false">IF(C48="","",$B$3+F48+G48+H48+I48+J48)</f>
        <v>10.5</v>
      </c>
      <c r="L48" s="124" t="n">
        <f aca="false">IF(C48="","",MIN(20,MAX(0,K48)))</f>
        <v>10.5</v>
      </c>
    </row>
    <row r="49" customFormat="false" ht="13.8" hidden="false" customHeight="false" outlineLevel="0" collapsed="false">
      <c r="A49" s="120" t="str">
        <f aca="false">IFERROR(BASE_DATA!A31,"")</f>
        <v>FRA_PORTUGAL_M1</v>
      </c>
      <c r="B49" s="121" t="str">
        <f aca="false">IFERROR(BASE_DATA!B31,"")</f>
        <v>Portugal</v>
      </c>
      <c r="C49" s="121" t="str">
        <f aca="false">IFERROR(BASE_DATA!G31,"")</f>
        <v>F. SIMIAND</v>
      </c>
      <c r="D49" s="121" t="str">
        <f aca="false">IFERROR(BASE_DATA!I31,"")</f>
        <v>Ailier</v>
      </c>
      <c r="E49" s="122" t="n">
        <f aca="false">IFERROR(BASE_DATA!R31,"")</f>
        <v>16.3833</v>
      </c>
      <c r="F49" s="123" t="n">
        <f aca="false">IF(C49="","",BASE_DATA!T31*$B$7+BASE_DATA!U31*$B$8+BASE_DATA!W31*$B$9+BASE_DATA!Y31*$B$10+BASE_DATA!X31*$B$11+BASE_DATA!AH31*$B$12+BASE_DATA!AM31*$B$13)</f>
        <v>4.95</v>
      </c>
      <c r="G49" s="123" t="n">
        <f aca="false">IF(C49="","",BASE_DATA!AN31*$F$7+BASE_DATA!AO31*$F$8+BASE_DATA!AJ31*$F$9)</f>
        <v>1.5</v>
      </c>
      <c r="H49" s="123" t="n">
        <f aca="false">IF(C49="","",BASE_DATA!AD31*$J$7+BASE_DATA!AG31*$J$8+BASE_DATA!AE31*$J$9+BASE_DATA!AL31*$J$10+BASE_DATA!AB31*$J$11+BASE_DATA!AC31*$J$12+BASE_DATA!AF31*$J$13)</f>
        <v>-2.75</v>
      </c>
      <c r="I49" s="123" t="n">
        <f aca="false">IF(C49="","",BASE_DATA!AQ31*$N$7+BASE_DATA!AP31*$N$8+BASE_DATA!AR31*$N$9+BASE_DATA!AT31*$N$10+BASE_DATA!AS31*$N$11+BASE_DATA!AU31*$N$12)</f>
        <v>0</v>
      </c>
      <c r="J49" s="122" t="n">
        <f aca="false">IF(C49="","",IFERROR(SUMIFS(EVAL_MATCH!E:E,EVAL_MATCH!A:A,A49,EVAL_MATCH!C:C,C49),0))</f>
        <v>1.5</v>
      </c>
      <c r="K49" s="123" t="n">
        <f aca="false">IF(C49="","",$B$3+F49+G49+H49+I49+J49)</f>
        <v>15.2</v>
      </c>
      <c r="L49" s="124" t="n">
        <f aca="false">IF(C49="","",MIN(20,MAX(0,K49)))</f>
        <v>15.2</v>
      </c>
    </row>
    <row r="50" customFormat="false" ht="13.8" hidden="false" customHeight="false" outlineLevel="0" collapsed="false">
      <c r="A50" s="120" t="str">
        <f aca="false">IFERROR(BASE_DATA!A32,"")</f>
        <v>FRA_PORTUGAL_M1</v>
      </c>
      <c r="B50" s="121" t="str">
        <f aca="false">IFERROR(BASE_DATA!B32,"")</f>
        <v>Portugal</v>
      </c>
      <c r="C50" s="121" t="str">
        <f aca="false">IFERROR(BASE_DATA!G32,"")</f>
        <v>I. BERRADA</v>
      </c>
      <c r="D50" s="121" t="str">
        <f aca="false">IFERROR(BASE_DATA!I32,"")</f>
        <v>Meneur côté</v>
      </c>
      <c r="E50" s="122" t="n">
        <f aca="false">IFERROR(BASE_DATA!R32,"")</f>
        <v>11</v>
      </c>
      <c r="F50" s="123" t="n">
        <f aca="false">IF(C50="","",BASE_DATA!T32*$B$7+BASE_DATA!U32*$B$8+BASE_DATA!W32*$B$9+BASE_DATA!Y32*$B$10+BASE_DATA!X32*$B$11+BASE_DATA!AH32*$B$12+BASE_DATA!AM32*$B$13)</f>
        <v>2.1</v>
      </c>
      <c r="G50" s="123" t="n">
        <f aca="false">IF(C50="","",BASE_DATA!AN32*$F$7+BASE_DATA!AO32*$F$8+BASE_DATA!AJ32*$F$9)</f>
        <v>2</v>
      </c>
      <c r="H50" s="123" t="n">
        <f aca="false">IF(C50="","",BASE_DATA!AD32*$J$7+BASE_DATA!AG32*$J$8+BASE_DATA!AE32*$J$9+BASE_DATA!AL32*$J$10+BASE_DATA!AB32*$J$11+BASE_DATA!AC32*$J$12+BASE_DATA!AF32*$J$13)</f>
        <v>-3.5</v>
      </c>
      <c r="I50" s="123" t="n">
        <f aca="false">IF(C50="","",BASE_DATA!AQ32*$N$7+BASE_DATA!AP32*$N$8+BASE_DATA!AR32*$N$9+BASE_DATA!AT32*$N$10+BASE_DATA!AS32*$N$11+BASE_DATA!AU32*$N$12)</f>
        <v>0</v>
      </c>
      <c r="J50" s="122" t="n">
        <f aca="false">IF(C50="","",IFERROR(SUMIFS(EVAL_MATCH!E:E,EVAL_MATCH!A:A,A50,EVAL_MATCH!C:C,C50),0))</f>
        <v>1.5</v>
      </c>
      <c r="K50" s="123" t="n">
        <f aca="false">IF(C50="","",$B$3+F50+G50+H50+I50+J50)</f>
        <v>12.1</v>
      </c>
      <c r="L50" s="124" t="n">
        <f aca="false">IF(C50="","",MIN(20,MAX(0,K50)))</f>
        <v>12.1</v>
      </c>
    </row>
    <row r="51" customFormat="false" ht="13.8" hidden="false" customHeight="false" outlineLevel="0" collapsed="false">
      <c r="A51" s="120" t="str">
        <f aca="false">IFERROR(BASE_DATA!A33,"")</f>
        <v>FRA_PORTUGAL_M1</v>
      </c>
      <c r="B51" s="121" t="str">
        <f aca="false">IFERROR(BASE_DATA!B33,"")</f>
        <v>Portugal</v>
      </c>
      <c r="C51" s="121" t="str">
        <f aca="false">IFERROR(BASE_DATA!G33,"")</f>
        <v>J. LUMECA</v>
      </c>
      <c r="D51" s="121" t="str">
        <f aca="false">IFERROR(BASE_DATA!I33,"")</f>
        <v>Gardien</v>
      </c>
      <c r="E51" s="122" t="n">
        <f aca="false">IFERROR(BASE_DATA!R33,"")</f>
        <v>20</v>
      </c>
      <c r="F51" s="123" t="n">
        <f aca="false">IF(C51="","",BASE_DATA!T33*$B$7+BASE_DATA!U33*$B$8+BASE_DATA!W33*$B$9+BASE_DATA!Y33*$B$10+BASE_DATA!X33*$B$11+BASE_DATA!AH33*$B$12+BASE_DATA!AM33*$B$13)</f>
        <v>0</v>
      </c>
      <c r="G51" s="123" t="n">
        <f aca="false">IF(C51="","",BASE_DATA!AN33*$F$7+BASE_DATA!AO33*$F$8+BASE_DATA!AJ33*$F$9)</f>
        <v>0</v>
      </c>
      <c r="H51" s="123" t="n">
        <f aca="false">IF(C51="","",BASE_DATA!AD33*$J$7+BASE_DATA!AG33*$J$8+BASE_DATA!AE33*$J$9+BASE_DATA!AL33*$J$10+BASE_DATA!AB33*$J$11+BASE_DATA!AC33*$J$12+BASE_DATA!AF33*$J$13)</f>
        <v>-1.75</v>
      </c>
      <c r="I51" s="123" t="n">
        <f aca="false">IF(C51="","",BASE_DATA!AQ33*$N$7+BASE_DATA!AP33*$N$8+BASE_DATA!AR33*$N$9+BASE_DATA!AT33*$N$10+BASE_DATA!AS33*$N$11+BASE_DATA!AU33*$N$12)</f>
        <v>7.9</v>
      </c>
      <c r="J51" s="122" t="n">
        <f aca="false">IF(C51="","",IFERROR(SUMIFS(EVAL_MATCH!E:E,EVAL_MATCH!A:A,A51,EVAL_MATCH!C:C,C51),0))</f>
        <v>3</v>
      </c>
      <c r="K51" s="123" t="n">
        <f aca="false">IF(C51="","",$B$3+F51+G51+H51+I51+J51)</f>
        <v>19.15</v>
      </c>
      <c r="L51" s="124" t="n">
        <f aca="false">IF(C51="","",MIN(20,MAX(0,K51)))</f>
        <v>19.15</v>
      </c>
    </row>
    <row r="52" customFormat="false" ht="13.8" hidden="false" customHeight="false" outlineLevel="0" collapsed="false">
      <c r="A52" s="120" t="str">
        <f aca="false">IFERROR(BASE_DATA!A34,"")</f>
        <v>FRA_PORTUGAL_M1</v>
      </c>
      <c r="B52" s="121" t="str">
        <f aca="false">IFERROR(BASE_DATA!B34,"")</f>
        <v>Portugal</v>
      </c>
      <c r="C52" s="121" t="str">
        <f aca="false">IFERROR(BASE_DATA!G34,"")</f>
        <v>L. LADIRE</v>
      </c>
      <c r="D52" s="121" t="str">
        <f aca="false">IFERROR(BASE_DATA!I34,"")</f>
        <v>Meneur</v>
      </c>
      <c r="E52" s="122" t="n">
        <f aca="false">IFERROR(BASE_DATA!R34,"")</f>
        <v>13.5</v>
      </c>
      <c r="F52" s="123" t="n">
        <f aca="false">IF(C52="","",BASE_DATA!T34*$B$7+BASE_DATA!U34*$B$8+BASE_DATA!W34*$B$9+BASE_DATA!Y34*$B$10+BASE_DATA!X34*$B$11+BASE_DATA!AH34*$B$12+BASE_DATA!AM34*$B$13)</f>
        <v>4.35</v>
      </c>
      <c r="G52" s="123" t="n">
        <f aca="false">IF(C52="","",BASE_DATA!AN34*$F$7+BASE_DATA!AO34*$F$8+BASE_DATA!AJ34*$F$9)</f>
        <v>5.5</v>
      </c>
      <c r="H52" s="123" t="n">
        <f aca="false">IF(C52="","",BASE_DATA!AD34*$J$7+BASE_DATA!AG34*$J$8+BASE_DATA!AE34*$J$9+BASE_DATA!AL34*$J$10+BASE_DATA!AB34*$J$11+BASE_DATA!AC34*$J$12+BASE_DATA!AF34*$J$13)</f>
        <v>-4</v>
      </c>
      <c r="I52" s="123" t="n">
        <f aca="false">IF(C52="","",BASE_DATA!AQ34*$N$7+BASE_DATA!AP34*$N$8+BASE_DATA!AR34*$N$9+BASE_DATA!AT34*$N$10+BASE_DATA!AS34*$N$11+BASE_DATA!AU34*$N$12)</f>
        <v>0</v>
      </c>
      <c r="J52" s="122" t="n">
        <f aca="false">IF(C52="","",IFERROR(SUMIFS(EVAL_MATCH!E:E,EVAL_MATCH!A:A,A52,EVAL_MATCH!C:C,C52),0))</f>
        <v>3</v>
      </c>
      <c r="K52" s="123" t="n">
        <f aca="false">IF(C52="","",$B$3+F52+G52+H52+I52+J52)</f>
        <v>18.85</v>
      </c>
      <c r="L52" s="124" t="n">
        <f aca="false">IF(C52="","",MIN(20,MAX(0,K52)))</f>
        <v>18.85</v>
      </c>
    </row>
    <row r="53" customFormat="false" ht="13.8" hidden="false" customHeight="false" outlineLevel="0" collapsed="false">
      <c r="A53" s="120" t="str">
        <f aca="false">IFERROR(BASE_DATA!A35,"")</f>
        <v>FRA_PORTUGAL_M1</v>
      </c>
      <c r="B53" s="121" t="str">
        <f aca="false">IFERROR(BASE_DATA!B35,"")</f>
        <v>Portugal</v>
      </c>
      <c r="C53" s="121" t="str">
        <f aca="false">IFERROR(BASE_DATA!G35,"")</f>
        <v>M. VALVERDE</v>
      </c>
      <c r="D53" s="121" t="str">
        <f aca="false">IFERROR(BASE_DATA!I35,"")</f>
        <v>Gardien</v>
      </c>
      <c r="E53" s="122" t="n">
        <f aca="false">IFERROR(BASE_DATA!R35,"")</f>
        <v>20</v>
      </c>
      <c r="F53" s="123" t="n">
        <f aca="false">IF(C53="","",BASE_DATA!T35*$B$7+BASE_DATA!U35*$B$8+BASE_DATA!W35*$B$9+BASE_DATA!Y35*$B$10+BASE_DATA!X35*$B$11+BASE_DATA!AH35*$B$12+BASE_DATA!AM35*$B$13)</f>
        <v>0</v>
      </c>
      <c r="G53" s="123" t="n">
        <f aca="false">IF(C53="","",BASE_DATA!AN35*$F$7+BASE_DATA!AO35*$F$8+BASE_DATA!AJ35*$F$9)</f>
        <v>0</v>
      </c>
      <c r="H53" s="123" t="n">
        <f aca="false">IF(C53="","",BASE_DATA!AD35*$J$7+BASE_DATA!AG35*$J$8+BASE_DATA!AE35*$J$9+BASE_DATA!AL35*$J$10+BASE_DATA!AB35*$J$11+BASE_DATA!AC35*$J$12+BASE_DATA!AF35*$J$13)</f>
        <v>-1</v>
      </c>
      <c r="I53" s="123" t="n">
        <f aca="false">IF(C53="","",BASE_DATA!AQ35*$N$7+BASE_DATA!AP35*$N$8+BASE_DATA!AR35*$N$9+BASE_DATA!AT35*$N$10+BASE_DATA!AS35*$N$11+BASE_DATA!AU35*$N$12)</f>
        <v>8.05</v>
      </c>
      <c r="J53" s="122" t="n">
        <f aca="false">IF(C53="","",IFERROR(SUMIFS(EVAL_MATCH!E:E,EVAL_MATCH!A:A,A53,EVAL_MATCH!C:C,C53),0))</f>
        <v>0</v>
      </c>
      <c r="K53" s="123" t="n">
        <f aca="false">IF(C53="","",$B$3+F53+G53+H53+I53+J53)</f>
        <v>17.05</v>
      </c>
      <c r="L53" s="124" t="n">
        <f aca="false">IF(C53="","",MIN(20,MAX(0,K53)))</f>
        <v>17.05</v>
      </c>
    </row>
    <row r="54" customFormat="false" ht="13.8" hidden="false" customHeight="false" outlineLevel="0" collapsed="false">
      <c r="A54" s="120" t="str">
        <f aca="false">IFERROR(BASE_DATA!A36,"")</f>
        <v>FRA_PORTUGAL_M1</v>
      </c>
      <c r="B54" s="121" t="str">
        <f aca="false">IFERROR(BASE_DATA!B36,"")</f>
        <v>Portugal</v>
      </c>
      <c r="C54" s="121" t="str">
        <f aca="false">IFERROR(BASE_DATA!G36,"")</f>
        <v>O. KAMISSOKO</v>
      </c>
      <c r="D54" s="121" t="str">
        <f aca="false">IFERROR(BASE_DATA!I36,"")</f>
        <v>Ailier</v>
      </c>
      <c r="E54" s="122" t="n">
        <f aca="false">IFERROR(BASE_DATA!R36,"")</f>
        <v>11.45</v>
      </c>
      <c r="F54" s="123" t="n">
        <f aca="false">IF(C54="","",BASE_DATA!T36*$B$7+BASE_DATA!U36*$B$8+BASE_DATA!W36*$B$9+BASE_DATA!Y36*$B$10+BASE_DATA!X36*$B$11+BASE_DATA!AH36*$B$12+BASE_DATA!AM36*$B$13)</f>
        <v>1.85</v>
      </c>
      <c r="G54" s="123" t="n">
        <f aca="false">IF(C54="","",BASE_DATA!AN36*$F$7+BASE_DATA!AO36*$F$8+BASE_DATA!AJ36*$F$9)</f>
        <v>2.5</v>
      </c>
      <c r="H54" s="123" t="n">
        <f aca="false">IF(C54="","",BASE_DATA!AD36*$J$7+BASE_DATA!AG36*$J$8+BASE_DATA!AE36*$J$9+BASE_DATA!AL36*$J$10+BASE_DATA!AB36*$J$11+BASE_DATA!AC36*$J$12+BASE_DATA!AF36*$J$13)</f>
        <v>-3.5</v>
      </c>
      <c r="I54" s="123" t="n">
        <f aca="false">IF(C54="","",BASE_DATA!AQ36*$N$7+BASE_DATA!AP36*$N$8+BASE_DATA!AR36*$N$9+BASE_DATA!AT36*$N$10+BASE_DATA!AS36*$N$11+BASE_DATA!AU36*$N$12)</f>
        <v>0</v>
      </c>
      <c r="J54" s="122" t="n">
        <f aca="false">IF(C54="","",IFERROR(SUMIFS(EVAL_MATCH!E:E,EVAL_MATCH!A:A,A54,EVAL_MATCH!C:C,C54),0))</f>
        <v>1.5</v>
      </c>
      <c r="K54" s="123" t="n">
        <f aca="false">IF(C54="","",$B$3+F54+G54+H54+I54+J54)</f>
        <v>12.35</v>
      </c>
      <c r="L54" s="124" t="n">
        <f aca="false">IF(C54="","",MIN(20,MAX(0,K54)))</f>
        <v>12.35</v>
      </c>
    </row>
    <row r="55" customFormat="false" ht="13.8" hidden="false" customHeight="false" outlineLevel="0" collapsed="false">
      <c r="A55" s="120" t="str">
        <f aca="false">IFERROR(BASE_DATA!A37,"")</f>
        <v>FRA_PORTUGAL_M1</v>
      </c>
      <c r="B55" s="121" t="str">
        <f aca="false">IFERROR(BASE_DATA!B37,"")</f>
        <v>Portugal</v>
      </c>
      <c r="C55" s="121" t="str">
        <f aca="false">IFERROR(BASE_DATA!G37,"")</f>
        <v>R. HOUMADI</v>
      </c>
      <c r="D55" s="121" t="str">
        <f aca="false">IFERROR(BASE_DATA!I37,"")</f>
        <v>Meneur</v>
      </c>
      <c r="E55" s="122" t="n">
        <f aca="false">IFERROR(BASE_DATA!R37,"")</f>
        <v>9.5667</v>
      </c>
      <c r="F55" s="123" t="n">
        <f aca="false">IF(C55="","",BASE_DATA!T37*$B$7+BASE_DATA!U37*$B$8+BASE_DATA!W37*$B$9+BASE_DATA!Y37*$B$10+BASE_DATA!X37*$B$11+BASE_DATA!AH37*$B$12+BASE_DATA!AM37*$B$13)</f>
        <v>0</v>
      </c>
      <c r="G55" s="123" t="n">
        <f aca="false">IF(C55="","",BASE_DATA!AN37*$F$7+BASE_DATA!AO37*$F$8+BASE_DATA!AJ37*$F$9)</f>
        <v>0.5</v>
      </c>
      <c r="H55" s="123" t="n">
        <f aca="false">IF(C55="","",BASE_DATA!AD37*$J$7+BASE_DATA!AG37*$J$8+BASE_DATA!AE37*$J$9+BASE_DATA!AL37*$J$10+BASE_DATA!AB37*$J$11+BASE_DATA!AC37*$J$12+BASE_DATA!AF37*$J$13)</f>
        <v>-0.5</v>
      </c>
      <c r="I55" s="123" t="n">
        <f aca="false">IF(C55="","",BASE_DATA!AQ37*$N$7+BASE_DATA!AP37*$N$8+BASE_DATA!AR37*$N$9+BASE_DATA!AT37*$N$10+BASE_DATA!AS37*$N$11+BASE_DATA!AU37*$N$12)</f>
        <v>0</v>
      </c>
      <c r="J55" s="122" t="n">
        <f aca="false">IF(C55="","",IFERROR(SUMIFS(EVAL_MATCH!E:E,EVAL_MATCH!A:A,A55,EVAL_MATCH!C:C,C55),0))</f>
        <v>1.5</v>
      </c>
      <c r="K55" s="123" t="n">
        <f aca="false">IF(C55="","",$B$3+F55+G55+H55+I55+J55)</f>
        <v>11.5</v>
      </c>
      <c r="L55" s="124" t="n">
        <f aca="false">IF(C55="","",MIN(20,MAX(0,K55)))</f>
        <v>11.5</v>
      </c>
    </row>
    <row r="56" customFormat="false" ht="13.8" hidden="false" customHeight="false" outlineLevel="0" collapsed="false">
      <c r="A56" s="120" t="str">
        <f aca="false">IFERROR(BASE_DATA!A38,"")</f>
        <v>FRA_PORTUGAL_M1</v>
      </c>
      <c r="B56" s="121" t="str">
        <f aca="false">IFERROR(BASE_DATA!B38,"")</f>
        <v>Portugal</v>
      </c>
      <c r="C56" s="121" t="str">
        <f aca="false">IFERROR(BASE_DATA!G38,"")</f>
        <v>R. SNOUSSI</v>
      </c>
      <c r="D56" s="121" t="str">
        <f aca="false">IFERROR(BASE_DATA!I38,"")</f>
        <v>Pivot</v>
      </c>
      <c r="E56" s="122" t="n">
        <f aca="false">IFERROR(BASE_DATA!R38,"")</f>
        <v>12</v>
      </c>
      <c r="F56" s="123" t="n">
        <f aca="false">IF(C56="","",BASE_DATA!T38*$B$7+BASE_DATA!U38*$B$8+BASE_DATA!W38*$B$9+BASE_DATA!Y38*$B$10+BASE_DATA!X38*$B$11+BASE_DATA!AH38*$B$12+BASE_DATA!AM38*$B$13)</f>
        <v>1</v>
      </c>
      <c r="G56" s="123" t="n">
        <f aca="false">IF(C56="","",BASE_DATA!AN38*$F$7+BASE_DATA!AO38*$F$8+BASE_DATA!AJ38*$F$9)</f>
        <v>2</v>
      </c>
      <c r="H56" s="123" t="n">
        <f aca="false">IF(C56="","",BASE_DATA!AD38*$J$7+BASE_DATA!AG38*$J$8+BASE_DATA!AE38*$J$9+BASE_DATA!AL38*$J$10+BASE_DATA!AB38*$J$11+BASE_DATA!AC38*$J$12+BASE_DATA!AF38*$J$13)</f>
        <v>-2.25</v>
      </c>
      <c r="I56" s="123" t="n">
        <f aca="false">IF(C56="","",BASE_DATA!AQ38*$N$7+BASE_DATA!AP38*$N$8+BASE_DATA!AR38*$N$9+BASE_DATA!AT38*$N$10+BASE_DATA!AS38*$N$11+BASE_DATA!AU38*$N$12)</f>
        <v>0</v>
      </c>
      <c r="J56" s="122" t="n">
        <f aca="false">IF(C56="","",IFERROR(SUMIFS(EVAL_MATCH!E:E,EVAL_MATCH!A:A,A56,EVAL_MATCH!C:C,C56),0))</f>
        <v>0</v>
      </c>
      <c r="K56" s="123" t="n">
        <f aca="false">IF(C56="","",$B$3+F56+G56+H56+I56+J56)</f>
        <v>10.75</v>
      </c>
      <c r="L56" s="124" t="n">
        <f aca="false">IF(C56="","",MIN(20,MAX(0,K56)))</f>
        <v>10.75</v>
      </c>
    </row>
    <row r="57" customFormat="false" ht="13.8" hidden="false" customHeight="false" outlineLevel="0" collapsed="false">
      <c r="A57" s="120" t="str">
        <f aca="false">IFERROR(BASE_DATA!A39,"")</f>
        <v>FRA_PORTUGAL_M1</v>
      </c>
      <c r="B57" s="121" t="str">
        <f aca="false">IFERROR(BASE_DATA!B39,"")</f>
        <v>Portugal</v>
      </c>
      <c r="C57" s="121" t="str">
        <f aca="false">IFERROR(BASE_DATA!G39,"")</f>
        <v>S. AGUENGUI</v>
      </c>
      <c r="D57" s="121" t="str">
        <f aca="false">IFERROR(BASE_DATA!I39,"")</f>
        <v>Pivot</v>
      </c>
      <c r="E57" s="122" t="n">
        <f aca="false">IFERROR(BASE_DATA!R39,"")</f>
        <v>8.2667</v>
      </c>
      <c r="F57" s="123" t="n">
        <f aca="false">IF(C57="","",BASE_DATA!T39*$B$7+BASE_DATA!U39*$B$8+BASE_DATA!W39*$B$9+BASE_DATA!Y39*$B$10+BASE_DATA!X39*$B$11+BASE_DATA!AH39*$B$12+BASE_DATA!AM39*$B$13)</f>
        <v>1</v>
      </c>
      <c r="G57" s="123" t="n">
        <f aca="false">IF(C57="","",BASE_DATA!AN39*$F$7+BASE_DATA!AO39*$F$8+BASE_DATA!AJ39*$F$9)</f>
        <v>1</v>
      </c>
      <c r="H57" s="123" t="n">
        <f aca="false">IF(C57="","",BASE_DATA!AD39*$J$7+BASE_DATA!AG39*$J$8+BASE_DATA!AE39*$J$9+BASE_DATA!AL39*$J$10+BASE_DATA!AB39*$J$11+BASE_DATA!AC39*$J$12+BASE_DATA!AF39*$J$13)</f>
        <v>-1.5</v>
      </c>
      <c r="I57" s="123" t="n">
        <f aca="false">IF(C57="","",BASE_DATA!AQ39*$N$7+BASE_DATA!AP39*$N$8+BASE_DATA!AR39*$N$9+BASE_DATA!AT39*$N$10+BASE_DATA!AS39*$N$11+BASE_DATA!AU39*$N$12)</f>
        <v>0</v>
      </c>
      <c r="J57" s="122" t="n">
        <f aca="false">IF(C57="","",IFERROR(SUMIFS(EVAL_MATCH!E:E,EVAL_MATCH!A:A,A57,EVAL_MATCH!C:C,C57),0))</f>
        <v>1.5</v>
      </c>
      <c r="K57" s="123" t="n">
        <f aca="false">IF(C57="","",$B$3+F57+G57+H57+I57+J57)</f>
        <v>12</v>
      </c>
      <c r="L57" s="124" t="n">
        <f aca="false">IF(C57="","",MIN(20,MAX(0,K57)))</f>
        <v>12</v>
      </c>
    </row>
    <row r="58" customFormat="false" ht="13.8" hidden="false" customHeight="false" outlineLevel="0" collapsed="false">
      <c r="A58" s="120" t="str">
        <f aca="false">IFERROR(BASE_DATA!A40,"")</f>
        <v>FRA_PORTUGAL_M1</v>
      </c>
      <c r="B58" s="121" t="str">
        <f aca="false">IFERROR(BASE_DATA!B40,"")</f>
        <v>Portugal</v>
      </c>
      <c r="C58" s="121" t="str">
        <f aca="false">IFERROR(BASE_DATA!G40,"")</f>
        <v>S. LALAYMIA</v>
      </c>
      <c r="D58" s="121" t="str">
        <f aca="false">IFERROR(BASE_DATA!I40,"")</f>
        <v>Meneur côté</v>
      </c>
      <c r="E58" s="122" t="n">
        <f aca="false">IFERROR(BASE_DATA!R40,"")</f>
        <v>13.8333</v>
      </c>
      <c r="F58" s="123" t="n">
        <f aca="false">IF(C58="","",BASE_DATA!T40*$B$7+BASE_DATA!U40*$B$8+BASE_DATA!W40*$B$9+BASE_DATA!Y40*$B$10+BASE_DATA!X40*$B$11+BASE_DATA!AH40*$B$12+BASE_DATA!AM40*$B$13)</f>
        <v>3.1</v>
      </c>
      <c r="G58" s="123" t="n">
        <f aca="false">IF(C58="","",BASE_DATA!AN40*$F$7+BASE_DATA!AO40*$F$8+BASE_DATA!AJ40*$F$9)</f>
        <v>3</v>
      </c>
      <c r="H58" s="123" t="n">
        <f aca="false">IF(C58="","",BASE_DATA!AD40*$J$7+BASE_DATA!AG40*$J$8+BASE_DATA!AE40*$J$9+BASE_DATA!AL40*$J$10+BASE_DATA!AB40*$J$11+BASE_DATA!AC40*$J$12+BASE_DATA!AF40*$J$13)</f>
        <v>-3</v>
      </c>
      <c r="I58" s="123" t="n">
        <f aca="false">IF(C58="","",BASE_DATA!AQ40*$N$7+BASE_DATA!AP40*$N$8+BASE_DATA!AR40*$N$9+BASE_DATA!AT40*$N$10+BASE_DATA!AS40*$N$11+BASE_DATA!AU40*$N$12)</f>
        <v>0</v>
      </c>
      <c r="J58" s="122" t="n">
        <f aca="false">IF(C58="","",IFERROR(SUMIFS(EVAL_MATCH!E:E,EVAL_MATCH!A:A,A58,EVAL_MATCH!C:C,C58),0))</f>
        <v>0</v>
      </c>
      <c r="K58" s="123" t="n">
        <f aca="false">IF(C58="","",$B$3+F58+G58+H58+I58+J58)</f>
        <v>13.1</v>
      </c>
      <c r="L58" s="124" t="n">
        <f aca="false">IF(C58="","",MIN(20,MAX(0,K58)))</f>
        <v>13.1</v>
      </c>
    </row>
    <row r="59" customFormat="false" ht="13.8" hidden="false" customHeight="false" outlineLevel="0" collapsed="false">
      <c r="A59" s="120" t="str">
        <f aca="false">IFERROR(BASE_DATA!A41,"")</f>
        <v>FRA_PORTUGAL_M1</v>
      </c>
      <c r="B59" s="121" t="str">
        <f aca="false">IFERROR(BASE_DATA!B41,"")</f>
        <v>Portugal</v>
      </c>
      <c r="C59" s="121" t="str">
        <f aca="false">IFERROR(BASE_DATA!G41,"")</f>
        <v>T. FERREIRA</v>
      </c>
      <c r="D59" s="121" t="str">
        <f aca="false">IFERROR(BASE_DATA!I41,"")</f>
        <v>Meneur</v>
      </c>
      <c r="E59" s="122" t="n">
        <f aca="false">IFERROR(BASE_DATA!R41,"")</f>
        <v>11.9</v>
      </c>
      <c r="F59" s="123" t="n">
        <f aca="false">IF(C59="","",BASE_DATA!T41*$B$7+BASE_DATA!U41*$B$8+BASE_DATA!W41*$B$9+BASE_DATA!Y41*$B$10+BASE_DATA!X41*$B$11+BASE_DATA!AH41*$B$12+BASE_DATA!AM41*$B$13)</f>
        <v>2.2</v>
      </c>
      <c r="G59" s="123" t="n">
        <f aca="false">IF(C59="","",BASE_DATA!AN41*$F$7+BASE_DATA!AO41*$F$8+BASE_DATA!AJ41*$F$9)</f>
        <v>2</v>
      </c>
      <c r="H59" s="123" t="n">
        <f aca="false">IF(C59="","",BASE_DATA!AD41*$J$7+BASE_DATA!AG41*$J$8+BASE_DATA!AE41*$J$9+BASE_DATA!AL41*$J$10+BASE_DATA!AB41*$J$11+BASE_DATA!AC41*$J$12+BASE_DATA!AF41*$J$13)</f>
        <v>-2.25</v>
      </c>
      <c r="I59" s="123" t="n">
        <f aca="false">IF(C59="","",BASE_DATA!AQ41*$N$7+BASE_DATA!AP41*$N$8+BASE_DATA!AR41*$N$9+BASE_DATA!AT41*$N$10+BASE_DATA!AS41*$N$11+BASE_DATA!AU41*$N$12)</f>
        <v>0</v>
      </c>
      <c r="J59" s="122" t="n">
        <f aca="false">IF(C59="","",IFERROR(SUMIFS(EVAL_MATCH!E:E,EVAL_MATCH!A:A,A59,EVAL_MATCH!C:C,C59),0))</f>
        <v>0</v>
      </c>
      <c r="K59" s="123" t="n">
        <f aca="false">IF(C59="","",$B$3+F59+G59+H59+I59+J59)</f>
        <v>11.95</v>
      </c>
      <c r="L59" s="124" t="n">
        <f aca="false">IF(C59="","",MIN(20,MAX(0,K59)))</f>
        <v>11.95</v>
      </c>
    </row>
    <row r="60" customFormat="false" ht="13.8" hidden="false" customHeight="false" outlineLevel="0" collapsed="false">
      <c r="A60" s="120" t="str">
        <f aca="false">IFERROR(BASE_DATA!A42,"")</f>
        <v>FRA_PORTUGAL_M1</v>
      </c>
      <c r="B60" s="121" t="str">
        <f aca="false">IFERROR(BASE_DATA!B42,"")</f>
        <v>Portugal</v>
      </c>
      <c r="C60" s="121" t="str">
        <f aca="false">IFERROR(BASE_DATA!G42,"")</f>
        <v>Z. CHAKRI</v>
      </c>
      <c r="D60" s="121" t="str">
        <f aca="false">IFERROR(BASE_DATA!I42,"")</f>
        <v>Pivot</v>
      </c>
      <c r="E60" s="122" t="n">
        <f aca="false">IFERROR(BASE_DATA!R42,"")</f>
        <v>13.1667</v>
      </c>
      <c r="F60" s="123" t="n">
        <f aca="false">IF(C60="","",BASE_DATA!T42*$B$7+BASE_DATA!U42*$B$8+BASE_DATA!W42*$B$9+BASE_DATA!Y42*$B$10+BASE_DATA!X42*$B$11+BASE_DATA!AH42*$B$12+BASE_DATA!AM42*$B$13)</f>
        <v>2.45</v>
      </c>
      <c r="G60" s="123" t="n">
        <f aca="false">IF(C60="","",BASE_DATA!AN42*$F$7+BASE_DATA!AO42*$F$8+BASE_DATA!AJ42*$F$9)</f>
        <v>0.5</v>
      </c>
      <c r="H60" s="123" t="n">
        <f aca="false">IF(C60="","",BASE_DATA!AD42*$J$7+BASE_DATA!AG42*$J$8+BASE_DATA!AE42*$J$9+BASE_DATA!AL42*$J$10+BASE_DATA!AB42*$J$11+BASE_DATA!AC42*$J$12+BASE_DATA!AF42*$J$13)</f>
        <v>-0.75</v>
      </c>
      <c r="I60" s="123" t="n">
        <f aca="false">IF(C60="","",BASE_DATA!AQ42*$N$7+BASE_DATA!AP42*$N$8+BASE_DATA!AR42*$N$9+BASE_DATA!AT42*$N$10+BASE_DATA!AS42*$N$11+BASE_DATA!AU42*$N$12)</f>
        <v>0</v>
      </c>
      <c r="J60" s="122" t="n">
        <f aca="false">IF(C60="","",IFERROR(SUMIFS(EVAL_MATCH!E:E,EVAL_MATCH!A:A,A60,EVAL_MATCH!C:C,C60),0))</f>
        <v>3</v>
      </c>
      <c r="K60" s="123" t="n">
        <f aca="false">IF(C60="","",$B$3+F60+G60+H60+I60+J60)</f>
        <v>15.2</v>
      </c>
      <c r="L60" s="124" t="n">
        <f aca="false">IF(C60="","",MIN(20,MAX(0,K60)))</f>
        <v>15.2</v>
      </c>
    </row>
    <row r="61" customFormat="false" ht="13.8" hidden="false" customHeight="false" outlineLevel="0" collapsed="false">
      <c r="A61" s="120" t="str">
        <f aca="false">IFERROR(BASE_DATA!A43,"")</f>
        <v>FRA_PORTUGAL_M2</v>
      </c>
      <c r="B61" s="121" t="str">
        <f aca="false">IFERROR(BASE_DATA!B43,"")</f>
        <v>Portugal</v>
      </c>
      <c r="C61" s="121" t="str">
        <f aca="false">IFERROR(BASE_DATA!G43,"")</f>
        <v>A. HENRY</v>
      </c>
      <c r="D61" s="121" t="str">
        <f aca="false">IFERROR(BASE_DATA!I43,"")</f>
        <v>Ailier</v>
      </c>
      <c r="E61" s="122" t="n">
        <f aca="false">IFERROR(BASE_DATA!R43,"")</f>
        <v>9.85</v>
      </c>
      <c r="F61" s="123" t="n">
        <f aca="false">IF(C61="","",BASE_DATA!T43*$B$7+BASE_DATA!U43*$B$8+BASE_DATA!W43*$B$9+BASE_DATA!Y43*$B$10+BASE_DATA!X43*$B$11+BASE_DATA!AH43*$B$12+BASE_DATA!AM43*$B$13)</f>
        <v>2.45</v>
      </c>
      <c r="G61" s="123" t="n">
        <f aca="false">IF(C61="","",BASE_DATA!AN43*$F$7+BASE_DATA!AO43*$F$8+BASE_DATA!AJ43*$F$9)</f>
        <v>1.5</v>
      </c>
      <c r="H61" s="123" t="n">
        <f aca="false">IF(C61="","",BASE_DATA!AD43*$J$7+BASE_DATA!AG43*$J$8+BASE_DATA!AE43*$J$9+BASE_DATA!AL43*$J$10+BASE_DATA!AB43*$J$11+BASE_DATA!AC43*$J$12+BASE_DATA!AF43*$J$13)</f>
        <v>-1.75</v>
      </c>
      <c r="I61" s="123" t="n">
        <f aca="false">IF(C61="","",BASE_DATA!AQ43*$N$7+BASE_DATA!AP43*$N$8+BASE_DATA!AR43*$N$9+BASE_DATA!AT43*$N$10+BASE_DATA!AS43*$N$11+BASE_DATA!AU43*$N$12)</f>
        <v>0</v>
      </c>
      <c r="J61" s="122" t="n">
        <f aca="false">IF(C61="","",IFERROR(SUMIFS(EVAL_MATCH!E:E,EVAL_MATCH!A:A,A61,EVAL_MATCH!C:C,C61),0))</f>
        <v>0</v>
      </c>
      <c r="K61" s="123" t="n">
        <f aca="false">IF(C61="","",$B$3+F61+G61+H61+I61+J61)</f>
        <v>12.2</v>
      </c>
      <c r="L61" s="124" t="n">
        <f aca="false">IF(C61="","",MIN(20,MAX(0,K61)))</f>
        <v>12.2</v>
      </c>
    </row>
    <row r="62" customFormat="false" ht="13.8" hidden="false" customHeight="false" outlineLevel="0" collapsed="false">
      <c r="A62" s="120" t="str">
        <f aca="false">IFERROR(BASE_DATA!A44,"")</f>
        <v>FRA_PORTUGAL_M2</v>
      </c>
      <c r="B62" s="121" t="str">
        <f aca="false">IFERROR(BASE_DATA!B44,"")</f>
        <v>Portugal</v>
      </c>
      <c r="C62" s="121" t="str">
        <f aca="false">IFERROR(BASE_DATA!G44,"")</f>
        <v>E. MOHAMED</v>
      </c>
      <c r="D62" s="121" t="str">
        <f aca="false">IFERROR(BASE_DATA!I44,"")</f>
        <v>Meneur</v>
      </c>
      <c r="E62" s="122" t="n">
        <f aca="false">IFERROR(BASE_DATA!R44,"")</f>
        <v>17.4667</v>
      </c>
      <c r="F62" s="123" t="n">
        <f aca="false">IF(C62="","",BASE_DATA!T44*$B$7+BASE_DATA!U44*$B$8+BASE_DATA!W44*$B$9+BASE_DATA!Y44*$B$10+BASE_DATA!X44*$B$11+BASE_DATA!AH44*$B$12+BASE_DATA!AM44*$B$13)</f>
        <v>6.05</v>
      </c>
      <c r="G62" s="123" t="n">
        <f aca="false">IF(C62="","",BASE_DATA!AN44*$F$7+BASE_DATA!AO44*$F$8+BASE_DATA!AJ44*$F$9)</f>
        <v>5</v>
      </c>
      <c r="H62" s="123" t="n">
        <f aca="false">IF(C62="","",BASE_DATA!AD44*$J$7+BASE_DATA!AG44*$J$8+BASE_DATA!AE44*$J$9+BASE_DATA!AL44*$J$10+BASE_DATA!AB44*$J$11+BASE_DATA!AC44*$J$12+BASE_DATA!AF44*$J$13)</f>
        <v>-4.25</v>
      </c>
      <c r="I62" s="123" t="n">
        <f aca="false">IF(C62="","",BASE_DATA!AQ44*$N$7+BASE_DATA!AP44*$N$8+BASE_DATA!AR44*$N$9+BASE_DATA!AT44*$N$10+BASE_DATA!AS44*$N$11+BASE_DATA!AU44*$N$12)</f>
        <v>0</v>
      </c>
      <c r="J62" s="122" t="n">
        <f aca="false">IF(C62="","",IFERROR(SUMIFS(EVAL_MATCH!E:E,EVAL_MATCH!A:A,A62,EVAL_MATCH!C:C,C62),0))</f>
        <v>0</v>
      </c>
      <c r="K62" s="123" t="n">
        <f aca="false">IF(C62="","",$B$3+F62+G62+H62+I62+J62)</f>
        <v>16.8</v>
      </c>
      <c r="L62" s="124" t="n">
        <f aca="false">IF(C62="","",MIN(20,MAX(0,K62)))</f>
        <v>16.8</v>
      </c>
    </row>
    <row r="63" customFormat="false" ht="13.8" hidden="false" customHeight="false" outlineLevel="0" collapsed="false">
      <c r="A63" s="120" t="str">
        <f aca="false">IFERROR(BASE_DATA!A45,"")</f>
        <v>FRA_PORTUGAL_M2</v>
      </c>
      <c r="B63" s="121" t="str">
        <f aca="false">IFERROR(BASE_DATA!B45,"")</f>
        <v>Portugal</v>
      </c>
      <c r="C63" s="121" t="str">
        <f aca="false">IFERROR(BASE_DATA!G45,"")</f>
        <v>F. BADAD</v>
      </c>
      <c r="D63" s="121" t="str">
        <f aca="false">IFERROR(BASE_DATA!I45,"")</f>
        <v>Meneur côté</v>
      </c>
      <c r="E63" s="122" t="n">
        <f aca="false">IFERROR(BASE_DATA!R45,"")</f>
        <v>11.2</v>
      </c>
      <c r="F63" s="123" t="n">
        <f aca="false">IF(C63="","",BASE_DATA!T45*$B$7+BASE_DATA!U45*$B$8+BASE_DATA!W45*$B$9+BASE_DATA!Y45*$B$10+BASE_DATA!X45*$B$11+BASE_DATA!AH45*$B$12+BASE_DATA!AM45*$B$13)</f>
        <v>0.75</v>
      </c>
      <c r="G63" s="123" t="n">
        <f aca="false">IF(C63="","",BASE_DATA!AN45*$F$7+BASE_DATA!AO45*$F$8+BASE_DATA!AJ45*$F$9)</f>
        <v>2.5</v>
      </c>
      <c r="H63" s="123" t="n">
        <f aca="false">IF(C63="","",BASE_DATA!AD45*$J$7+BASE_DATA!AG45*$J$8+BASE_DATA!AE45*$J$9+BASE_DATA!AL45*$J$10+BASE_DATA!AB45*$J$11+BASE_DATA!AC45*$J$12+BASE_DATA!AF45*$J$13)</f>
        <v>-2.5</v>
      </c>
      <c r="I63" s="123" t="n">
        <f aca="false">IF(C63="","",BASE_DATA!AQ45*$N$7+BASE_DATA!AP45*$N$8+BASE_DATA!AR45*$N$9+BASE_DATA!AT45*$N$10+BASE_DATA!AS45*$N$11+BASE_DATA!AU45*$N$12)</f>
        <v>0</v>
      </c>
      <c r="J63" s="122" t="n">
        <f aca="false">IF(C63="","",IFERROR(SUMIFS(EVAL_MATCH!E:E,EVAL_MATCH!A:A,A63,EVAL_MATCH!C:C,C63),0))</f>
        <v>0</v>
      </c>
      <c r="K63" s="123" t="n">
        <f aca="false">IF(C63="","",$B$3+F63+G63+H63+I63+J63)</f>
        <v>10.75</v>
      </c>
      <c r="L63" s="124" t="n">
        <f aca="false">IF(C63="","",MIN(20,MAX(0,K63)))</f>
        <v>10.75</v>
      </c>
    </row>
    <row r="64" customFormat="false" ht="13.8" hidden="false" customHeight="false" outlineLevel="0" collapsed="false">
      <c r="A64" s="120" t="str">
        <f aca="false">IFERROR(BASE_DATA!A46,"")</f>
        <v>FRA_PORTUGAL_M2</v>
      </c>
      <c r="B64" s="121" t="str">
        <f aca="false">IFERROR(BASE_DATA!B46,"")</f>
        <v>Portugal</v>
      </c>
      <c r="C64" s="121" t="str">
        <f aca="false">IFERROR(BASE_DATA!G46,"")</f>
        <v>F. SIMIAND</v>
      </c>
      <c r="D64" s="121" t="str">
        <f aca="false">IFERROR(BASE_DATA!I46,"")</f>
        <v>Ailier</v>
      </c>
      <c r="E64" s="122" t="n">
        <f aca="false">IFERROR(BASE_DATA!R46,"")</f>
        <v>14.0667</v>
      </c>
      <c r="F64" s="123" t="n">
        <f aca="false">IF(C64="","",BASE_DATA!T46*$B$7+BASE_DATA!U46*$B$8+BASE_DATA!W46*$B$9+BASE_DATA!Y46*$B$10+BASE_DATA!X46*$B$11+BASE_DATA!AH46*$B$12+BASE_DATA!AM46*$B$13)</f>
        <v>3.2</v>
      </c>
      <c r="G64" s="123" t="n">
        <f aca="false">IF(C64="","",BASE_DATA!AN46*$F$7+BASE_DATA!AO46*$F$8+BASE_DATA!AJ46*$F$9)</f>
        <v>1</v>
      </c>
      <c r="H64" s="123" t="n">
        <f aca="false">IF(C64="","",BASE_DATA!AD46*$J$7+BASE_DATA!AG46*$J$8+BASE_DATA!AE46*$J$9+BASE_DATA!AL46*$J$10+BASE_DATA!AB46*$J$11+BASE_DATA!AC46*$J$12+BASE_DATA!AF46*$J$13)</f>
        <v>-2.5</v>
      </c>
      <c r="I64" s="123" t="n">
        <f aca="false">IF(C64="","",BASE_DATA!AQ46*$N$7+BASE_DATA!AP46*$N$8+BASE_DATA!AR46*$N$9+BASE_DATA!AT46*$N$10+BASE_DATA!AS46*$N$11+BASE_DATA!AU46*$N$12)</f>
        <v>0</v>
      </c>
      <c r="J64" s="122" t="n">
        <f aca="false">IF(C64="","",IFERROR(SUMIFS(EVAL_MATCH!E:E,EVAL_MATCH!A:A,A64,EVAL_MATCH!C:C,C64),0))</f>
        <v>3</v>
      </c>
      <c r="K64" s="123" t="n">
        <f aca="false">IF(C64="","",$B$3+F64+G64+H64+I64+J64)</f>
        <v>14.7</v>
      </c>
      <c r="L64" s="124" t="n">
        <f aca="false">IF(C64="","",MIN(20,MAX(0,K64)))</f>
        <v>14.7</v>
      </c>
    </row>
    <row r="65" customFormat="false" ht="13.8" hidden="false" customHeight="false" outlineLevel="0" collapsed="false">
      <c r="A65" s="120" t="str">
        <f aca="false">IFERROR(BASE_DATA!A47,"")</f>
        <v>FRA_PORTUGAL_M2</v>
      </c>
      <c r="B65" s="121" t="str">
        <f aca="false">IFERROR(BASE_DATA!B47,"")</f>
        <v>Portugal</v>
      </c>
      <c r="C65" s="121" t="str">
        <f aca="false">IFERROR(BASE_DATA!G47,"")</f>
        <v>I. BERRADA</v>
      </c>
      <c r="D65" s="121" t="str">
        <f aca="false">IFERROR(BASE_DATA!I47,"")</f>
        <v>Meneur côté</v>
      </c>
      <c r="E65" s="122" t="n">
        <f aca="false">IFERROR(BASE_DATA!R47,"")</f>
        <v>18.9167</v>
      </c>
      <c r="F65" s="123" t="n">
        <f aca="false">IF(C65="","",BASE_DATA!T47*$B$7+BASE_DATA!U47*$B$8+BASE_DATA!W47*$B$9+BASE_DATA!Y47*$B$10+BASE_DATA!X47*$B$11+BASE_DATA!AH47*$B$12+BASE_DATA!AM47*$B$13)</f>
        <v>1.35</v>
      </c>
      <c r="G65" s="123" t="n">
        <f aca="false">IF(C65="","",BASE_DATA!AN47*$F$7+BASE_DATA!AO47*$F$8+BASE_DATA!AJ47*$F$9)</f>
        <v>2</v>
      </c>
      <c r="H65" s="123" t="n">
        <f aca="false">IF(C65="","",BASE_DATA!AD47*$J$7+BASE_DATA!AG47*$J$8+BASE_DATA!AE47*$J$9+BASE_DATA!AL47*$J$10+BASE_DATA!AB47*$J$11+BASE_DATA!AC47*$J$12+BASE_DATA!AF47*$J$13)</f>
        <v>-4</v>
      </c>
      <c r="I65" s="123" t="n">
        <f aca="false">IF(C65="","",BASE_DATA!AQ47*$N$7+BASE_DATA!AP47*$N$8+BASE_DATA!AR47*$N$9+BASE_DATA!AT47*$N$10+BASE_DATA!AS47*$N$11+BASE_DATA!AU47*$N$12)</f>
        <v>0</v>
      </c>
      <c r="J65" s="122" t="n">
        <f aca="false">IF(C65="","",IFERROR(SUMIFS(EVAL_MATCH!E:E,EVAL_MATCH!A:A,A65,EVAL_MATCH!C:C,C65),0))</f>
        <v>0</v>
      </c>
      <c r="K65" s="123" t="n">
        <f aca="false">IF(C65="","",$B$3+F65+G65+H65+I65+J65)</f>
        <v>9.35</v>
      </c>
      <c r="L65" s="124" t="n">
        <f aca="false">IF(C65="","",MIN(20,MAX(0,K65)))</f>
        <v>9.35</v>
      </c>
    </row>
    <row r="66" customFormat="false" ht="13.8" hidden="false" customHeight="false" outlineLevel="0" collapsed="false">
      <c r="A66" s="120" t="str">
        <f aca="false">IFERROR(BASE_DATA!A48,"")</f>
        <v>FRA_PORTUGAL_M2</v>
      </c>
      <c r="B66" s="121" t="str">
        <f aca="false">IFERROR(BASE_DATA!B48,"")</f>
        <v>Portugal</v>
      </c>
      <c r="C66" s="121" t="str">
        <f aca="false">IFERROR(BASE_DATA!G48,"")</f>
        <v>J. LUMECA</v>
      </c>
      <c r="D66" s="121" t="str">
        <f aca="false">IFERROR(BASE_DATA!I48,"")</f>
        <v>Gardien</v>
      </c>
      <c r="E66" s="122" t="n">
        <f aca="false">IFERROR(BASE_DATA!R48,"")</f>
        <v>16.4667</v>
      </c>
      <c r="F66" s="123" t="n">
        <f aca="false">IF(C66="","",BASE_DATA!T48*$B$7+BASE_DATA!U48*$B$8+BASE_DATA!W48*$B$9+BASE_DATA!Y48*$B$10+BASE_DATA!X48*$B$11+BASE_DATA!AH48*$B$12+BASE_DATA!AM48*$B$13)</f>
        <v>0</v>
      </c>
      <c r="G66" s="123" t="n">
        <f aca="false">IF(C66="","",BASE_DATA!AN48*$F$7+BASE_DATA!AO48*$F$8+BASE_DATA!AJ48*$F$9)</f>
        <v>0</v>
      </c>
      <c r="H66" s="123" t="n">
        <f aca="false">IF(C66="","",BASE_DATA!AD48*$J$7+BASE_DATA!AG48*$J$8+BASE_DATA!AE48*$J$9+BASE_DATA!AL48*$J$10+BASE_DATA!AB48*$J$11+BASE_DATA!AC48*$J$12+BASE_DATA!AF48*$J$13)</f>
        <v>-0</v>
      </c>
      <c r="I66" s="123" t="n">
        <f aca="false">IF(C66="","",BASE_DATA!AQ48*$N$7+BASE_DATA!AP48*$N$8+BASE_DATA!AR48*$N$9+BASE_DATA!AT48*$N$10+BASE_DATA!AS48*$N$11+BASE_DATA!AU48*$N$12)</f>
        <v>9.2</v>
      </c>
      <c r="J66" s="122" t="n">
        <f aca="false">IF(C66="","",IFERROR(SUMIFS(EVAL_MATCH!E:E,EVAL_MATCH!A:A,A66,EVAL_MATCH!C:C,C66),0))</f>
        <v>0</v>
      </c>
      <c r="K66" s="123" t="n">
        <f aca="false">IF(C66="","",$B$3+F66+G66+H66+I66+J66)</f>
        <v>19.2</v>
      </c>
      <c r="L66" s="124" t="n">
        <f aca="false">IF(C66="","",MIN(20,MAX(0,K66)))</f>
        <v>19.2</v>
      </c>
    </row>
    <row r="67" customFormat="false" ht="13.8" hidden="false" customHeight="false" outlineLevel="0" collapsed="false">
      <c r="A67" s="120" t="str">
        <f aca="false">IFERROR(BASE_DATA!A49,"")</f>
        <v>FRA_PORTUGAL_M2</v>
      </c>
      <c r="B67" s="121" t="str">
        <f aca="false">IFERROR(BASE_DATA!B49,"")</f>
        <v>Portugal</v>
      </c>
      <c r="C67" s="121" t="str">
        <f aca="false">IFERROR(BASE_DATA!G49,"")</f>
        <v>L. LADIRE</v>
      </c>
      <c r="D67" s="121" t="str">
        <f aca="false">IFERROR(BASE_DATA!I49,"")</f>
        <v>Meneur</v>
      </c>
      <c r="E67" s="122" t="n">
        <f aca="false">IFERROR(BASE_DATA!R49,"")</f>
        <v>14.6</v>
      </c>
      <c r="F67" s="123" t="n">
        <f aca="false">IF(C67="","",BASE_DATA!T49*$B$7+BASE_DATA!U49*$B$8+BASE_DATA!W49*$B$9+BASE_DATA!Y49*$B$10+BASE_DATA!X49*$B$11+BASE_DATA!AH49*$B$12+BASE_DATA!AM49*$B$13)</f>
        <v>7.7</v>
      </c>
      <c r="G67" s="123" t="n">
        <f aca="false">IF(C67="","",BASE_DATA!AN49*$F$7+BASE_DATA!AO49*$F$8+BASE_DATA!AJ49*$F$9)</f>
        <v>2.5</v>
      </c>
      <c r="H67" s="123" t="n">
        <f aca="false">IF(C67="","",BASE_DATA!AD49*$J$7+BASE_DATA!AG49*$J$8+BASE_DATA!AE49*$J$9+BASE_DATA!AL49*$J$10+BASE_DATA!AB49*$J$11+BASE_DATA!AC49*$J$12+BASE_DATA!AF49*$J$13)</f>
        <v>-3</v>
      </c>
      <c r="I67" s="123" t="n">
        <f aca="false">IF(C67="","",BASE_DATA!AQ49*$N$7+BASE_DATA!AP49*$N$8+BASE_DATA!AR49*$N$9+BASE_DATA!AT49*$N$10+BASE_DATA!AS49*$N$11+BASE_DATA!AU49*$N$12)</f>
        <v>0</v>
      </c>
      <c r="J67" s="122" t="n">
        <f aca="false">IF(C67="","",IFERROR(SUMIFS(EVAL_MATCH!E:E,EVAL_MATCH!A:A,A67,EVAL_MATCH!C:C,C67),0))</f>
        <v>3</v>
      </c>
      <c r="K67" s="123" t="n">
        <f aca="false">IF(C67="","",$B$3+F67+G67+H67+I67+J67)</f>
        <v>20.2</v>
      </c>
      <c r="L67" s="124" t="n">
        <f aca="false">IF(C67="","",MIN(20,MAX(0,K67)))</f>
        <v>20</v>
      </c>
    </row>
    <row r="68" customFormat="false" ht="13.8" hidden="false" customHeight="false" outlineLevel="0" collapsed="false">
      <c r="A68" s="120" t="str">
        <f aca="false">IFERROR(BASE_DATA!A50,"")</f>
        <v>FRA_PORTUGAL_M2</v>
      </c>
      <c r="B68" s="121" t="str">
        <f aca="false">IFERROR(BASE_DATA!B50,"")</f>
        <v>Portugal</v>
      </c>
      <c r="C68" s="121" t="str">
        <f aca="false">IFERROR(BASE_DATA!G50,"")</f>
        <v>M. VALVERDE</v>
      </c>
      <c r="D68" s="121" t="str">
        <f aca="false">IFERROR(BASE_DATA!I50,"")</f>
        <v>Gardien</v>
      </c>
      <c r="E68" s="122" t="n">
        <f aca="false">IFERROR(BASE_DATA!R50,"")</f>
        <v>5.9667</v>
      </c>
      <c r="F68" s="123" t="n">
        <f aca="false">IF(C68="","",BASE_DATA!T50*$B$7+BASE_DATA!U50*$B$8+BASE_DATA!W50*$B$9+BASE_DATA!Y50*$B$10+BASE_DATA!X50*$B$11+BASE_DATA!AH50*$B$12+BASE_DATA!AM50*$B$13)</f>
        <v>0</v>
      </c>
      <c r="G68" s="123" t="n">
        <f aca="false">IF(C68="","",BASE_DATA!AN50*$F$7+BASE_DATA!AO50*$F$8+BASE_DATA!AJ50*$F$9)</f>
        <v>0</v>
      </c>
      <c r="H68" s="123" t="n">
        <f aca="false">IF(C68="","",BASE_DATA!AD50*$J$7+BASE_DATA!AG50*$J$8+BASE_DATA!AE50*$J$9+BASE_DATA!AL50*$J$10+BASE_DATA!AB50*$J$11+BASE_DATA!AC50*$J$12+BASE_DATA!AF50*$J$13)</f>
        <v>-0.25</v>
      </c>
      <c r="I68" s="123" t="n">
        <f aca="false">IF(C68="","",BASE_DATA!AQ50*$N$7+BASE_DATA!AP50*$N$8+BASE_DATA!AR50*$N$9+BASE_DATA!AT50*$N$10+BASE_DATA!AS50*$N$11+BASE_DATA!AU50*$N$12)</f>
        <v>2.95</v>
      </c>
      <c r="J68" s="122" t="n">
        <f aca="false">IF(C68="","",IFERROR(SUMIFS(EVAL_MATCH!E:E,EVAL_MATCH!A:A,A68,EVAL_MATCH!C:C,C68),0))</f>
        <v>1.5</v>
      </c>
      <c r="K68" s="123" t="n">
        <f aca="false">IF(C68="","",$B$3+F68+G68+H68+I68+J68)</f>
        <v>14.2</v>
      </c>
      <c r="L68" s="124" t="n">
        <f aca="false">IF(C68="","",MIN(20,MAX(0,K68)))</f>
        <v>14.2</v>
      </c>
    </row>
    <row r="69" customFormat="false" ht="13.8" hidden="false" customHeight="false" outlineLevel="0" collapsed="false">
      <c r="A69" s="120" t="str">
        <f aca="false">IFERROR(BASE_DATA!A51,"")</f>
        <v>FRA_PORTUGAL_M2</v>
      </c>
      <c r="B69" s="121" t="str">
        <f aca="false">IFERROR(BASE_DATA!B51,"")</f>
        <v>Portugal</v>
      </c>
      <c r="C69" s="121" t="str">
        <f aca="false">IFERROR(BASE_DATA!G51,"")</f>
        <v>O. KAMISSOKO</v>
      </c>
      <c r="D69" s="121" t="str">
        <f aca="false">IFERROR(BASE_DATA!I51,"")</f>
        <v>Ailier</v>
      </c>
      <c r="E69" s="122" t="n">
        <f aca="false">IFERROR(BASE_DATA!R51,"")</f>
        <v>11.4833</v>
      </c>
      <c r="F69" s="123" t="n">
        <f aca="false">IF(C69="","",BASE_DATA!T51*$B$7+BASE_DATA!U51*$B$8+BASE_DATA!W51*$B$9+BASE_DATA!Y51*$B$10+BASE_DATA!X51*$B$11+BASE_DATA!AH51*$B$12+BASE_DATA!AM51*$B$13)</f>
        <v>5.75</v>
      </c>
      <c r="G69" s="123" t="n">
        <f aca="false">IF(C69="","",BASE_DATA!AN51*$F$7+BASE_DATA!AO51*$F$8+BASE_DATA!AJ51*$F$9)</f>
        <v>4</v>
      </c>
      <c r="H69" s="123" t="n">
        <f aca="false">IF(C69="","",BASE_DATA!AD51*$J$7+BASE_DATA!AG51*$J$8+BASE_DATA!AE51*$J$9+BASE_DATA!AL51*$J$10+BASE_DATA!AB51*$J$11+BASE_DATA!AC51*$J$12+BASE_DATA!AF51*$J$13)</f>
        <v>-4.5</v>
      </c>
      <c r="I69" s="123" t="n">
        <f aca="false">IF(C69="","",BASE_DATA!AQ51*$N$7+BASE_DATA!AP51*$N$8+BASE_DATA!AR51*$N$9+BASE_DATA!AT51*$N$10+BASE_DATA!AS51*$N$11+BASE_DATA!AU51*$N$12)</f>
        <v>0</v>
      </c>
      <c r="J69" s="122" t="n">
        <f aca="false">IF(C69="","",IFERROR(SUMIFS(EVAL_MATCH!E:E,EVAL_MATCH!A:A,A69,EVAL_MATCH!C:C,C69),0))</f>
        <v>3</v>
      </c>
      <c r="K69" s="123" t="n">
        <f aca="false">IF(C69="","",$B$3+F69+G69+H69+I69+J69)</f>
        <v>18.25</v>
      </c>
      <c r="L69" s="124" t="n">
        <f aca="false">IF(C69="","",MIN(20,MAX(0,K69)))</f>
        <v>18.25</v>
      </c>
    </row>
    <row r="70" customFormat="false" ht="13.8" hidden="false" customHeight="false" outlineLevel="0" collapsed="false">
      <c r="A70" s="120" t="str">
        <f aca="false">IFERROR(BASE_DATA!A52,"")</f>
        <v>FRA_PORTUGAL_M2</v>
      </c>
      <c r="B70" s="121" t="str">
        <f aca="false">IFERROR(BASE_DATA!B52,"")</f>
        <v>Portugal</v>
      </c>
      <c r="C70" s="121" t="str">
        <f aca="false">IFERROR(BASE_DATA!G52,"")</f>
        <v>R. HOUMADI</v>
      </c>
      <c r="D70" s="121" t="str">
        <f aca="false">IFERROR(BASE_DATA!I52,"")</f>
        <v>Meneur</v>
      </c>
      <c r="E70" s="122" t="n">
        <f aca="false">IFERROR(BASE_DATA!R52,"")</f>
        <v>2.3</v>
      </c>
      <c r="F70" s="123" t="n">
        <f aca="false">IF(C70="","",BASE_DATA!T52*$B$7+BASE_DATA!U52*$B$8+BASE_DATA!W52*$B$9+BASE_DATA!Y52*$B$10+BASE_DATA!X52*$B$11+BASE_DATA!AH52*$B$12+BASE_DATA!AM52*$B$13)</f>
        <v>0</v>
      </c>
      <c r="G70" s="123" t="n">
        <f aca="false">IF(C70="","",BASE_DATA!AN52*$F$7+BASE_DATA!AO52*$F$8+BASE_DATA!AJ52*$F$9)</f>
        <v>0</v>
      </c>
      <c r="H70" s="123" t="n">
        <f aca="false">IF(C70="","",BASE_DATA!AD52*$J$7+BASE_DATA!AG52*$J$8+BASE_DATA!AE52*$J$9+BASE_DATA!AL52*$J$10+BASE_DATA!AB52*$J$11+BASE_DATA!AC52*$J$12+BASE_DATA!AF52*$J$13)</f>
        <v>-0</v>
      </c>
      <c r="I70" s="123" t="n">
        <f aca="false">IF(C70="","",BASE_DATA!AQ52*$N$7+BASE_DATA!AP52*$N$8+BASE_DATA!AR52*$N$9+BASE_DATA!AT52*$N$10+BASE_DATA!AS52*$N$11+BASE_DATA!AU52*$N$12)</f>
        <v>0</v>
      </c>
      <c r="J70" s="122" t="n">
        <f aca="false">IF(C70="","",IFERROR(SUMIFS(EVAL_MATCH!E:E,EVAL_MATCH!A:A,A70,EVAL_MATCH!C:C,C70),0))</f>
        <v>0</v>
      </c>
      <c r="K70" s="123" t="n">
        <f aca="false">IF(C70="","",$B$3+F70+G70+H70+I70+J70)</f>
        <v>10</v>
      </c>
      <c r="L70" s="124" t="n">
        <f aca="false">IF(C70="","",MIN(20,MAX(0,K70)))</f>
        <v>10</v>
      </c>
    </row>
    <row r="71" customFormat="false" ht="13.8" hidden="false" customHeight="false" outlineLevel="0" collapsed="false">
      <c r="A71" s="120" t="str">
        <f aca="false">IFERROR(BASE_DATA!A53,"")</f>
        <v>FRA_PORTUGAL_M2</v>
      </c>
      <c r="B71" s="121" t="str">
        <f aca="false">IFERROR(BASE_DATA!B53,"")</f>
        <v>Portugal</v>
      </c>
      <c r="C71" s="121" t="str">
        <f aca="false">IFERROR(BASE_DATA!G53,"")</f>
        <v>R. SNOUSSI</v>
      </c>
      <c r="D71" s="121" t="str">
        <f aca="false">IFERROR(BASE_DATA!I53,"")</f>
        <v>Pivot</v>
      </c>
      <c r="E71" s="122" t="n">
        <f aca="false">IFERROR(BASE_DATA!R53,"")</f>
        <v>14.0833</v>
      </c>
      <c r="F71" s="123" t="n">
        <f aca="false">IF(C71="","",BASE_DATA!T53*$B$7+BASE_DATA!U53*$B$8+BASE_DATA!W53*$B$9+BASE_DATA!Y53*$B$10+BASE_DATA!X53*$B$11+BASE_DATA!AH53*$B$12+BASE_DATA!AM53*$B$13)</f>
        <v>1.55</v>
      </c>
      <c r="G71" s="123" t="n">
        <f aca="false">IF(C71="","",BASE_DATA!AN53*$F$7+BASE_DATA!AO53*$F$8+BASE_DATA!AJ53*$F$9)</f>
        <v>2.5</v>
      </c>
      <c r="H71" s="123" t="n">
        <f aca="false">IF(C71="","",BASE_DATA!AD53*$J$7+BASE_DATA!AG53*$J$8+BASE_DATA!AE53*$J$9+BASE_DATA!AL53*$J$10+BASE_DATA!AB53*$J$11+BASE_DATA!AC53*$J$12+BASE_DATA!AF53*$J$13)</f>
        <v>-1.5</v>
      </c>
      <c r="I71" s="123" t="n">
        <f aca="false">IF(C71="","",BASE_DATA!AQ53*$N$7+BASE_DATA!AP53*$N$8+BASE_DATA!AR53*$N$9+BASE_DATA!AT53*$N$10+BASE_DATA!AS53*$N$11+BASE_DATA!AU53*$N$12)</f>
        <v>0</v>
      </c>
      <c r="J71" s="122" t="n">
        <f aca="false">IF(C71="","",IFERROR(SUMIFS(EVAL_MATCH!E:E,EVAL_MATCH!A:A,A71,EVAL_MATCH!C:C,C71),0))</f>
        <v>0</v>
      </c>
      <c r="K71" s="123" t="n">
        <f aca="false">IF(C71="","",$B$3+F71+G71+H71+I71+J71)</f>
        <v>12.55</v>
      </c>
      <c r="L71" s="124" t="n">
        <f aca="false">IF(C71="","",MIN(20,MAX(0,K71)))</f>
        <v>12.55</v>
      </c>
    </row>
    <row r="72" customFormat="false" ht="13.8" hidden="false" customHeight="false" outlineLevel="0" collapsed="false">
      <c r="A72" s="120" t="str">
        <f aca="false">IFERROR(BASE_DATA!A54,"")</f>
        <v>FRA_PORTUGAL_M2</v>
      </c>
      <c r="B72" s="121" t="str">
        <f aca="false">IFERROR(BASE_DATA!B54,"")</f>
        <v>Portugal</v>
      </c>
      <c r="C72" s="121" t="str">
        <f aca="false">IFERROR(BASE_DATA!G54,"")</f>
        <v>S. AGUENGUI</v>
      </c>
      <c r="D72" s="121" t="str">
        <f aca="false">IFERROR(BASE_DATA!I54,"")</f>
        <v>Pivot</v>
      </c>
      <c r="E72" s="122" t="n">
        <f aca="false">IFERROR(BASE_DATA!R54,"")</f>
        <v>10.15</v>
      </c>
      <c r="F72" s="123" t="n">
        <f aca="false">IF(C72="","",BASE_DATA!T54*$B$7+BASE_DATA!U54*$B$8+BASE_DATA!W54*$B$9+BASE_DATA!Y54*$B$10+BASE_DATA!X54*$B$11+BASE_DATA!AH54*$B$12+BASE_DATA!AM54*$B$13)</f>
        <v>1</v>
      </c>
      <c r="G72" s="123" t="n">
        <f aca="false">IF(C72="","",BASE_DATA!AN54*$F$7+BASE_DATA!AO54*$F$8+BASE_DATA!AJ54*$F$9)</f>
        <v>1.5</v>
      </c>
      <c r="H72" s="123" t="n">
        <f aca="false">IF(C72="","",BASE_DATA!AD54*$J$7+BASE_DATA!AG54*$J$8+BASE_DATA!AE54*$J$9+BASE_DATA!AL54*$J$10+BASE_DATA!AB54*$J$11+BASE_DATA!AC54*$J$12+BASE_DATA!AF54*$J$13)</f>
        <v>-1</v>
      </c>
      <c r="I72" s="123" t="n">
        <f aca="false">IF(C72="","",BASE_DATA!AQ54*$N$7+BASE_DATA!AP54*$N$8+BASE_DATA!AR54*$N$9+BASE_DATA!AT54*$N$10+BASE_DATA!AS54*$N$11+BASE_DATA!AU54*$N$12)</f>
        <v>0</v>
      </c>
      <c r="J72" s="122" t="n">
        <f aca="false">IF(C72="","",IFERROR(SUMIFS(EVAL_MATCH!E:E,EVAL_MATCH!A:A,A72,EVAL_MATCH!C:C,C72),0))</f>
        <v>1.5</v>
      </c>
      <c r="K72" s="123" t="n">
        <f aca="false">IF(C72="","",$B$3+F72+G72+H72+I72+J72)</f>
        <v>13</v>
      </c>
      <c r="L72" s="124" t="n">
        <f aca="false">IF(C72="","",MIN(20,MAX(0,K72)))</f>
        <v>13</v>
      </c>
    </row>
    <row r="73" customFormat="false" ht="13.8" hidden="false" customHeight="false" outlineLevel="0" collapsed="false">
      <c r="A73" s="120" t="str">
        <f aca="false">IFERROR(BASE_DATA!A55,"")</f>
        <v>FRA_PORTUGAL_M2</v>
      </c>
      <c r="B73" s="121" t="str">
        <f aca="false">IFERROR(BASE_DATA!B55,"")</f>
        <v>Portugal</v>
      </c>
      <c r="C73" s="121" t="str">
        <f aca="false">IFERROR(BASE_DATA!G55,"")</f>
        <v>S. DRAME</v>
      </c>
      <c r="D73" s="121" t="str">
        <f aca="false">IFERROR(BASE_DATA!I55,"")</f>
        <v>Gardien</v>
      </c>
      <c r="E73" s="122" t="n">
        <f aca="false">IFERROR(BASE_DATA!R55,"")</f>
        <v>15.9333</v>
      </c>
      <c r="F73" s="123" t="n">
        <f aca="false">IF(C73="","",BASE_DATA!T55*$B$7+BASE_DATA!U55*$B$8+BASE_DATA!W55*$B$9+BASE_DATA!Y55*$B$10+BASE_DATA!X55*$B$11+BASE_DATA!AH55*$B$12+BASE_DATA!AM55*$B$13)</f>
        <v>0</v>
      </c>
      <c r="G73" s="123" t="n">
        <f aca="false">IF(C73="","",BASE_DATA!AN55*$F$7+BASE_DATA!AO55*$F$8+BASE_DATA!AJ55*$F$9)</f>
        <v>0</v>
      </c>
      <c r="H73" s="123" t="n">
        <f aca="false">IF(C73="","",BASE_DATA!AD55*$J$7+BASE_DATA!AG55*$J$8+BASE_DATA!AE55*$J$9+BASE_DATA!AL55*$J$10+BASE_DATA!AB55*$J$11+BASE_DATA!AC55*$J$12+BASE_DATA!AF55*$J$13)</f>
        <v>-0</v>
      </c>
      <c r="I73" s="123" t="n">
        <f aca="false">IF(C73="","",BASE_DATA!AQ55*$N$7+BASE_DATA!AP55*$N$8+BASE_DATA!AR55*$N$9+BASE_DATA!AT55*$N$10+BASE_DATA!AS55*$N$11+BASE_DATA!AU55*$N$12)</f>
        <v>2.65</v>
      </c>
      <c r="J73" s="122" t="n">
        <f aca="false">IF(C73="","",IFERROR(SUMIFS(EVAL_MATCH!E:E,EVAL_MATCH!A:A,A73,EVAL_MATCH!C:C,C73),0))</f>
        <v>0</v>
      </c>
      <c r="K73" s="123" t="n">
        <f aca="false">IF(C73="","",$B$3+F73+G73+H73+I73+J73)</f>
        <v>12.65</v>
      </c>
      <c r="L73" s="124" t="n">
        <f aca="false">IF(C73="","",MIN(20,MAX(0,K73)))</f>
        <v>12.65</v>
      </c>
    </row>
    <row r="74" customFormat="false" ht="13.8" hidden="false" customHeight="false" outlineLevel="0" collapsed="false">
      <c r="A74" s="120" t="str">
        <f aca="false">IFERROR(BASE_DATA!A56,"")</f>
        <v>FRA_PORTUGAL_M2</v>
      </c>
      <c r="B74" s="121" t="str">
        <f aca="false">IFERROR(BASE_DATA!B56,"")</f>
        <v>Portugal</v>
      </c>
      <c r="C74" s="121" t="str">
        <f aca="false">IFERROR(BASE_DATA!G56,"")</f>
        <v>S. LALAYMIA</v>
      </c>
      <c r="D74" s="121" t="str">
        <f aca="false">IFERROR(BASE_DATA!I56,"")</f>
        <v>Meneur côté</v>
      </c>
      <c r="E74" s="122" t="n">
        <f aca="false">IFERROR(BASE_DATA!R56,"")</f>
        <v>13.75</v>
      </c>
      <c r="F74" s="123" t="n">
        <f aca="false">IF(C74="","",BASE_DATA!T56*$B$7+BASE_DATA!U56*$B$8+BASE_DATA!W56*$B$9+BASE_DATA!Y56*$B$10+BASE_DATA!X56*$B$11+BASE_DATA!AH56*$B$12+BASE_DATA!AM56*$B$13)</f>
        <v>1</v>
      </c>
      <c r="G74" s="123" t="n">
        <f aca="false">IF(C74="","",BASE_DATA!AN56*$F$7+BASE_DATA!AO56*$F$8+BASE_DATA!AJ56*$F$9)</f>
        <v>1.5</v>
      </c>
      <c r="H74" s="123" t="n">
        <f aca="false">IF(C74="","",BASE_DATA!AD56*$J$7+BASE_DATA!AG56*$J$8+BASE_DATA!AE56*$J$9+BASE_DATA!AL56*$J$10+BASE_DATA!AB56*$J$11+BASE_DATA!AC56*$J$12+BASE_DATA!AF56*$J$13)</f>
        <v>-1.25</v>
      </c>
      <c r="I74" s="123" t="n">
        <f aca="false">IF(C74="","",BASE_DATA!AQ56*$N$7+BASE_DATA!AP56*$N$8+BASE_DATA!AR56*$N$9+BASE_DATA!AT56*$N$10+BASE_DATA!AS56*$N$11+BASE_DATA!AU56*$N$12)</f>
        <v>0</v>
      </c>
      <c r="J74" s="122" t="n">
        <f aca="false">IF(C74="","",IFERROR(SUMIFS(EVAL_MATCH!E:E,EVAL_MATCH!A:A,A74,EVAL_MATCH!C:C,C74),0))</f>
        <v>0</v>
      </c>
      <c r="K74" s="123" t="n">
        <f aca="false">IF(C74="","",$B$3+F74+G74+H74+I74+J74)</f>
        <v>11.25</v>
      </c>
      <c r="L74" s="124" t="n">
        <f aca="false">IF(C74="","",MIN(20,MAX(0,K74)))</f>
        <v>11.25</v>
      </c>
    </row>
    <row r="75" customFormat="false" ht="13.8" hidden="false" customHeight="false" outlineLevel="0" collapsed="false">
      <c r="A75" s="120" t="str">
        <f aca="false">IFERROR(BASE_DATA!A57,"")</f>
        <v>FRA_PORTUGAL_M2</v>
      </c>
      <c r="B75" s="121" t="str">
        <f aca="false">IFERROR(BASE_DATA!B57,"")</f>
        <v>Portugal</v>
      </c>
      <c r="C75" s="121" t="str">
        <f aca="false">IFERROR(BASE_DATA!G57,"")</f>
        <v>T. FERREIRA</v>
      </c>
      <c r="D75" s="121" t="str">
        <f aca="false">IFERROR(BASE_DATA!I57,"")</f>
        <v>Meneur</v>
      </c>
      <c r="E75" s="122" t="n">
        <f aca="false">IFERROR(BASE_DATA!R57,"")</f>
        <v>8.2667</v>
      </c>
      <c r="F75" s="123" t="n">
        <f aca="false">IF(C75="","",BASE_DATA!T57*$B$7+BASE_DATA!U57*$B$8+BASE_DATA!W57*$B$9+BASE_DATA!Y57*$B$10+BASE_DATA!X57*$B$11+BASE_DATA!AH57*$B$12+BASE_DATA!AM57*$B$13)</f>
        <v>5.45</v>
      </c>
      <c r="G75" s="123" t="n">
        <f aca="false">IF(C75="","",BASE_DATA!AN57*$F$7+BASE_DATA!AO57*$F$8+BASE_DATA!AJ57*$F$9)</f>
        <v>0.5</v>
      </c>
      <c r="H75" s="123" t="n">
        <f aca="false">IF(C75="","",BASE_DATA!AD57*$J$7+BASE_DATA!AG57*$J$8+BASE_DATA!AE57*$J$9+BASE_DATA!AL57*$J$10+BASE_DATA!AB57*$J$11+BASE_DATA!AC57*$J$12+BASE_DATA!AF57*$J$13)</f>
        <v>-2.5</v>
      </c>
      <c r="I75" s="123" t="n">
        <f aca="false">IF(C75="","",BASE_DATA!AQ57*$N$7+BASE_DATA!AP57*$N$8+BASE_DATA!AR57*$N$9+BASE_DATA!AT57*$N$10+BASE_DATA!AS57*$N$11+BASE_DATA!AU57*$N$12)</f>
        <v>0</v>
      </c>
      <c r="J75" s="122" t="n">
        <f aca="false">IF(C75="","",IFERROR(SUMIFS(EVAL_MATCH!E:E,EVAL_MATCH!A:A,A75,EVAL_MATCH!C:C,C75),0))</f>
        <v>3</v>
      </c>
      <c r="K75" s="123" t="n">
        <f aca="false">IF(C75="","",$B$3+F75+G75+H75+I75+J75)</f>
        <v>16.45</v>
      </c>
      <c r="L75" s="124" t="n">
        <f aca="false">IF(C75="","",MIN(20,MAX(0,K75)))</f>
        <v>16.45</v>
      </c>
    </row>
    <row r="76" customFormat="false" ht="13.8" hidden="false" customHeight="false" outlineLevel="0" collapsed="false">
      <c r="A76" s="120" t="str">
        <f aca="false">IFERROR(BASE_DATA!A58,"")</f>
        <v>FRA_PORTUGAL_M2</v>
      </c>
      <c r="B76" s="121" t="str">
        <f aca="false">IFERROR(BASE_DATA!B58,"")</f>
        <v>Portugal</v>
      </c>
      <c r="C76" s="121" t="str">
        <f aca="false">IFERROR(BASE_DATA!G58,"")</f>
        <v>Z. CHAKRI</v>
      </c>
      <c r="D76" s="121" t="str">
        <f aca="false">IFERROR(BASE_DATA!I58,"")</f>
        <v>Pivot</v>
      </c>
      <c r="E76" s="122" t="n">
        <f aca="false">IFERROR(BASE_DATA!R58,"")</f>
        <v>12.3333</v>
      </c>
      <c r="F76" s="123" t="n">
        <f aca="false">IF(C76="","",BASE_DATA!T58*$B$7+BASE_DATA!U58*$B$8+BASE_DATA!W58*$B$9+BASE_DATA!Y58*$B$10+BASE_DATA!X58*$B$11+BASE_DATA!AH58*$B$12+BASE_DATA!AM58*$B$13)</f>
        <v>1.45</v>
      </c>
      <c r="G76" s="123" t="n">
        <f aca="false">IF(C76="","",BASE_DATA!AN58*$F$7+BASE_DATA!AO58*$F$8+BASE_DATA!AJ58*$F$9)</f>
        <v>3</v>
      </c>
      <c r="H76" s="123" t="n">
        <f aca="false">IF(C76="","",BASE_DATA!AD58*$J$7+BASE_DATA!AG58*$J$8+BASE_DATA!AE58*$J$9+BASE_DATA!AL58*$J$10+BASE_DATA!AB58*$J$11+BASE_DATA!AC58*$J$12+BASE_DATA!AF58*$J$13)</f>
        <v>-1</v>
      </c>
      <c r="I76" s="123" t="n">
        <f aca="false">IF(C76="","",BASE_DATA!AQ58*$N$7+BASE_DATA!AP58*$N$8+BASE_DATA!AR58*$N$9+BASE_DATA!AT58*$N$10+BASE_DATA!AS58*$N$11+BASE_DATA!AU58*$N$12)</f>
        <v>0</v>
      </c>
      <c r="J76" s="122" t="n">
        <f aca="false">IF(C76="","",IFERROR(SUMIFS(EVAL_MATCH!E:E,EVAL_MATCH!A:A,A76,EVAL_MATCH!C:C,C76),0))</f>
        <v>3</v>
      </c>
      <c r="K76" s="123" t="n">
        <f aca="false">IF(C76="","",$B$3+F76+G76+H76+I76+J76)</f>
        <v>16.45</v>
      </c>
      <c r="L76" s="124" t="n">
        <f aca="false">IF(C76="","",MIN(20,MAX(0,K76)))</f>
        <v>16.45</v>
      </c>
    </row>
    <row r="77" customFormat="false" ht="13.8" hidden="false" customHeight="false" outlineLevel="0" collapsed="false">
      <c r="A77" s="125" t="n">
        <f aca="false">IFERROR(BASE_DATA!B59,"")</f>
        <v>0</v>
      </c>
      <c r="B77" s="125" t="n">
        <f aca="false">IFERROR(BASE_DATA!B59,"")</f>
        <v>0</v>
      </c>
      <c r="C77" s="125" t="n">
        <f aca="false">IFERROR(BASE_DATA!G59,"")</f>
        <v>0</v>
      </c>
      <c r="D77" s="125" t="n">
        <f aca="false">IFERROR(BASE_DATA!I59,"")</f>
        <v>0</v>
      </c>
      <c r="E77" s="126" t="n">
        <f aca="false">IFERROR(BASE_DATA!R59,"")</f>
        <v>0</v>
      </c>
      <c r="F77" s="127" t="n">
        <f aca="false">IF(C77="","",BASE_DATA!T59*$B$7+BASE_DATA!U59*$B$8+BASE_DATA!W59*$B$9+BASE_DATA!Y59*$B$10+BASE_DATA!X59*$B$11+BASE_DATA!AH59*$B$12+BASE_DATA!AM59*$B$13)</f>
        <v>0</v>
      </c>
      <c r="G77" s="127" t="n">
        <f aca="false">IF(C77="","",BASE_DATA!AN59*$F$7+BASE_DATA!AO59*$F$8+BASE_DATA!AJ59*$F$9)</f>
        <v>0</v>
      </c>
      <c r="H77" s="127" t="n">
        <f aca="false">IF(C77="","",BASE_DATA!AD59*$J$7+BASE_DATA!AG59*$J$8+BASE_DATA!AE59*$J$9+BASE_DATA!AL59*$J$10+BASE_DATA!AB59*$J$11+BASE_DATA!AC59*$J$12+BASE_DATA!AF59*$J$13)</f>
        <v>-0</v>
      </c>
      <c r="I77" s="127" t="n">
        <f aca="false">IF(C77="","",BASE_DATA!AQ59*$N$7+BASE_DATA!AP59*$N$8+BASE_DATA!AR59*$N$9+BASE_DATA!AT59*$N$10+BASE_DATA!AS59*$N$11+BASE_DATA!AU59*$N$12)</f>
        <v>0</v>
      </c>
      <c r="J77" s="122" t="n">
        <f aca="false">IF(C77="","",IFERROR(SUMIFS(EVAL_MATCH!E:E,EVAL_MATCH!A:A,A77,EVAL_MATCH!C:C,C77),0))</f>
        <v>0</v>
      </c>
      <c r="K77" s="127" t="n">
        <f aca="false">IF(C77="","",$B$3+F77+G77+H77+I77+J77)</f>
        <v>10</v>
      </c>
      <c r="L77" s="128" t="n">
        <f aca="false">IF(C77="","",MIN(20,MAX(0,K77)))</f>
        <v>10</v>
      </c>
    </row>
    <row r="78" customFormat="false" ht="13.8" hidden="false" customHeight="false" outlineLevel="0" collapsed="false">
      <c r="A78" s="121" t="n">
        <f aca="false">IFERROR(BASE_DATA!B60,"")</f>
        <v>0</v>
      </c>
      <c r="B78" s="121" t="n">
        <f aca="false">IFERROR(BASE_DATA!B60,"")</f>
        <v>0</v>
      </c>
      <c r="C78" s="121" t="n">
        <f aca="false">IFERROR(BASE_DATA!G60,"")</f>
        <v>0</v>
      </c>
      <c r="D78" s="121" t="n">
        <f aca="false">IFERROR(BASE_DATA!I60,"")</f>
        <v>0</v>
      </c>
      <c r="E78" s="122" t="n">
        <f aca="false">IFERROR(BASE_DATA!R60,"")</f>
        <v>0</v>
      </c>
      <c r="F78" s="123" t="n">
        <f aca="false">IF(C78="","",BASE_DATA!T60*$B$7+BASE_DATA!U60*$B$8+BASE_DATA!W60*$B$9+BASE_DATA!Y60*$B$10+BASE_DATA!X60*$B$11+BASE_DATA!AH60*$B$12+BASE_DATA!AM60*$B$13)</f>
        <v>0</v>
      </c>
      <c r="G78" s="123" t="n">
        <f aca="false">IF(C78="","",BASE_DATA!AN60*$F$7+BASE_DATA!AO60*$F$8+BASE_DATA!AJ60*$F$9)</f>
        <v>0</v>
      </c>
      <c r="H78" s="123" t="n">
        <f aca="false">IF(C78="","",BASE_DATA!AD60*$J$7+BASE_DATA!AG60*$J$8+BASE_DATA!AE60*$J$9+BASE_DATA!AL60*$J$10+BASE_DATA!AB60*$J$11+BASE_DATA!AC60*$J$12+BASE_DATA!AF60*$J$13)</f>
        <v>-0</v>
      </c>
      <c r="I78" s="123" t="n">
        <f aca="false">IF(C78="","",BASE_DATA!AQ60*$N$7+BASE_DATA!AP60*$N$8+BASE_DATA!AR60*$N$9+BASE_DATA!AT60*$N$10+BASE_DATA!AS60*$N$11+BASE_DATA!AU60*$N$12)</f>
        <v>0</v>
      </c>
      <c r="J78" s="122" t="n">
        <f aca="false">IF(C78="","",IFERROR(SUMIFS(EVAL_MATCH!E:E,EVAL_MATCH!A:A,A78,EVAL_MATCH!C:C,C78),0))</f>
        <v>0</v>
      </c>
      <c r="K78" s="123" t="n">
        <f aca="false">IF(C78="","",$B$3+F78+G78+H78+I78+J78)</f>
        <v>10</v>
      </c>
      <c r="L78" s="124" t="n">
        <f aca="false">IF(C78="","",MIN(20,MAX(0,K78)))</f>
        <v>10</v>
      </c>
    </row>
    <row r="79" customFormat="false" ht="13.8" hidden="false" customHeight="false" outlineLevel="0" collapsed="false">
      <c r="A79" s="125" t="n">
        <f aca="false">IFERROR(BASE_DATA!B61,"")</f>
        <v>0</v>
      </c>
      <c r="B79" s="125" t="n">
        <f aca="false">IFERROR(BASE_DATA!B61,"")</f>
        <v>0</v>
      </c>
      <c r="C79" s="125" t="n">
        <f aca="false">IFERROR(BASE_DATA!G61,"")</f>
        <v>0</v>
      </c>
      <c r="D79" s="125" t="n">
        <f aca="false">IFERROR(BASE_DATA!I61,"")</f>
        <v>0</v>
      </c>
      <c r="E79" s="126" t="n">
        <f aca="false">IFERROR(BASE_DATA!R61,"")</f>
        <v>0</v>
      </c>
      <c r="F79" s="127" t="n">
        <f aca="false">IF(C79="","",BASE_DATA!T61*$B$7+BASE_DATA!U61*$B$8+BASE_DATA!W61*$B$9+BASE_DATA!Y61*$B$10+BASE_DATA!X61*$B$11+BASE_DATA!AH61*$B$12+BASE_DATA!AM61*$B$13)</f>
        <v>0</v>
      </c>
      <c r="G79" s="127" t="n">
        <f aca="false">IF(C79="","",BASE_DATA!AN61*$F$7+BASE_DATA!AO61*$F$8+BASE_DATA!AJ61*$F$9)</f>
        <v>0</v>
      </c>
      <c r="H79" s="127" t="n">
        <f aca="false">IF(C79="","",BASE_DATA!AD61*$J$7+BASE_DATA!AG61*$J$8+BASE_DATA!AE61*$J$9+BASE_DATA!AL61*$J$10+BASE_DATA!AB61*$J$11+BASE_DATA!AC61*$J$12+BASE_DATA!AF61*$J$13)</f>
        <v>-0</v>
      </c>
      <c r="I79" s="127" t="n">
        <f aca="false">IF(C79="","",BASE_DATA!AQ61*$N$7+BASE_DATA!AP61*$N$8+BASE_DATA!AR61*$N$9+BASE_DATA!AT61*$N$10+BASE_DATA!AS61*$N$11+BASE_DATA!AU61*$N$12)</f>
        <v>0</v>
      </c>
      <c r="J79" s="122" t="n">
        <f aca="false">IF(C79="","",IFERROR(SUMIFS(EVAL_MATCH!E:E,EVAL_MATCH!A:A,A79,EVAL_MATCH!C:C,C79),0))</f>
        <v>0</v>
      </c>
      <c r="K79" s="127" t="n">
        <f aca="false">IF(C79="","",$B$3+F79+G79+H79+I79+J79)</f>
        <v>10</v>
      </c>
      <c r="L79" s="128" t="n">
        <f aca="false">IF(C79="","",MIN(20,MAX(0,K79)))</f>
        <v>10</v>
      </c>
    </row>
    <row r="80" customFormat="false" ht="13.8" hidden="false" customHeight="false" outlineLevel="0" collapsed="false">
      <c r="A80" s="121" t="n">
        <f aca="false">IFERROR(BASE_DATA!B62,"")</f>
        <v>0</v>
      </c>
      <c r="B80" s="121" t="n">
        <f aca="false">IFERROR(BASE_DATA!B62,"")</f>
        <v>0</v>
      </c>
      <c r="C80" s="121" t="n">
        <f aca="false">IFERROR(BASE_DATA!G62,"")</f>
        <v>0</v>
      </c>
      <c r="D80" s="121" t="n">
        <f aca="false">IFERROR(BASE_DATA!I62,"")</f>
        <v>0</v>
      </c>
      <c r="E80" s="122" t="n">
        <f aca="false">IFERROR(BASE_DATA!R62,"")</f>
        <v>0</v>
      </c>
      <c r="F80" s="123" t="n">
        <f aca="false">IF(C80="","",BASE_DATA!T62*$B$7+BASE_DATA!U62*$B$8+BASE_DATA!W62*$B$9+BASE_DATA!Y62*$B$10+BASE_DATA!X62*$B$11+BASE_DATA!AH62*$B$12+BASE_DATA!AM62*$B$13)</f>
        <v>0</v>
      </c>
      <c r="G80" s="123" t="n">
        <f aca="false">IF(C80="","",BASE_DATA!AN62*$F$7+BASE_DATA!AO62*$F$8+BASE_DATA!AJ62*$F$9)</f>
        <v>0</v>
      </c>
      <c r="H80" s="123" t="n">
        <f aca="false">IF(C80="","",BASE_DATA!AD62*$J$7+BASE_DATA!AG62*$J$8+BASE_DATA!AE62*$J$9+BASE_DATA!AL62*$J$10+BASE_DATA!AB62*$J$11+BASE_DATA!AC62*$J$12+BASE_DATA!AF62*$J$13)</f>
        <v>-0</v>
      </c>
      <c r="I80" s="123" t="n">
        <f aca="false">IF(C80="","",BASE_DATA!AQ62*$N$7+BASE_DATA!AP62*$N$8+BASE_DATA!AR62*$N$9+BASE_DATA!AT62*$N$10+BASE_DATA!AS62*$N$11+BASE_DATA!AU62*$N$12)</f>
        <v>0</v>
      </c>
      <c r="J80" s="122" t="n">
        <f aca="false">IF(C80="","",IFERROR(SUMIFS(EVAL_MATCH!E:E,EVAL_MATCH!A:A,A80,EVAL_MATCH!C:C,C80),0))</f>
        <v>0</v>
      </c>
      <c r="K80" s="123" t="n">
        <f aca="false">IF(C80="","",$B$3+F80+G80+H80+I80+J80)</f>
        <v>10</v>
      </c>
      <c r="L80" s="124" t="n">
        <f aca="false">IF(C80="","",MIN(20,MAX(0,K80)))</f>
        <v>10</v>
      </c>
    </row>
    <row r="81" customFormat="false" ht="13.8" hidden="false" customHeight="false" outlineLevel="0" collapsed="false">
      <c r="A81" s="125" t="n">
        <f aca="false">IFERROR(BASE_DATA!B63,"")</f>
        <v>0</v>
      </c>
      <c r="B81" s="125" t="n">
        <f aca="false">IFERROR(BASE_DATA!B63,"")</f>
        <v>0</v>
      </c>
      <c r="C81" s="125" t="n">
        <f aca="false">IFERROR(BASE_DATA!G63,"")</f>
        <v>0</v>
      </c>
      <c r="D81" s="125" t="n">
        <f aca="false">IFERROR(BASE_DATA!I63,"")</f>
        <v>0</v>
      </c>
      <c r="E81" s="126" t="n">
        <f aca="false">IFERROR(BASE_DATA!R63,"")</f>
        <v>0</v>
      </c>
      <c r="F81" s="127" t="n">
        <f aca="false">IF(C81="","",BASE_DATA!T63*$B$7+BASE_DATA!U63*$B$8+BASE_DATA!W63*$B$9+BASE_DATA!Y63*$B$10+BASE_DATA!X63*$B$11+BASE_DATA!AH63*$B$12+BASE_DATA!AM63*$B$13)</f>
        <v>0</v>
      </c>
      <c r="G81" s="127" t="n">
        <f aca="false">IF(C81="","",BASE_DATA!AN63*$F$7+BASE_DATA!AO63*$F$8+BASE_DATA!AJ63*$F$9)</f>
        <v>0</v>
      </c>
      <c r="H81" s="127" t="n">
        <f aca="false">IF(C81="","",BASE_DATA!AD63*$J$7+BASE_DATA!AG63*$J$8+BASE_DATA!AE63*$J$9+BASE_DATA!AL63*$J$10+BASE_DATA!AB63*$J$11+BASE_DATA!AC63*$J$12+BASE_DATA!AF63*$J$13)</f>
        <v>-0</v>
      </c>
      <c r="I81" s="127" t="n">
        <f aca="false">IF(C81="","",BASE_DATA!AQ63*$N$7+BASE_DATA!AP63*$N$8+BASE_DATA!AR63*$N$9+BASE_DATA!AT63*$N$10+BASE_DATA!AS63*$N$11+BASE_DATA!AU63*$N$12)</f>
        <v>0</v>
      </c>
      <c r="J81" s="122" t="n">
        <f aca="false">IF(C81="","",IFERROR(SUMIFS(EVAL_MATCH!E:E,EVAL_MATCH!A:A,A81,EVAL_MATCH!C:C,C81),0))</f>
        <v>0</v>
      </c>
      <c r="K81" s="127" t="n">
        <f aca="false">IF(C81="","",$B$3+F81+G81+H81+I81+J81)</f>
        <v>10</v>
      </c>
      <c r="L81" s="128" t="n">
        <f aca="false">IF(C81="","",MIN(20,MAX(0,K81)))</f>
        <v>10</v>
      </c>
    </row>
    <row r="82" customFormat="false" ht="13.8" hidden="false" customHeight="false" outlineLevel="0" collapsed="false">
      <c r="A82" s="121" t="n">
        <f aca="false">IFERROR(BASE_DATA!B64,"")</f>
        <v>0</v>
      </c>
      <c r="B82" s="121" t="n">
        <f aca="false">IFERROR(BASE_DATA!B64,"")</f>
        <v>0</v>
      </c>
      <c r="C82" s="121" t="n">
        <f aca="false">IFERROR(BASE_DATA!G64,"")</f>
        <v>0</v>
      </c>
      <c r="D82" s="121" t="n">
        <f aca="false">IFERROR(BASE_DATA!I64,"")</f>
        <v>0</v>
      </c>
      <c r="E82" s="122" t="n">
        <f aca="false">IFERROR(BASE_DATA!R64,"")</f>
        <v>0</v>
      </c>
      <c r="F82" s="123" t="n">
        <f aca="false">IF(C82="","",BASE_DATA!T64*$B$7+BASE_DATA!U64*$B$8+BASE_DATA!W64*$B$9+BASE_DATA!Y64*$B$10+BASE_DATA!X64*$B$11+BASE_DATA!AH64*$B$12+BASE_DATA!AM64*$B$13)</f>
        <v>0</v>
      </c>
      <c r="G82" s="123" t="n">
        <f aca="false">IF(C82="","",BASE_DATA!AN64*$F$7+BASE_DATA!AO64*$F$8+BASE_DATA!AJ64*$F$9)</f>
        <v>0</v>
      </c>
      <c r="H82" s="123" t="n">
        <f aca="false">IF(C82="","",BASE_DATA!AD64*$J$7+BASE_DATA!AG64*$J$8+BASE_DATA!AE64*$J$9+BASE_DATA!AL64*$J$10+BASE_DATA!AB64*$J$11+BASE_DATA!AC64*$J$12+BASE_DATA!AF64*$J$13)</f>
        <v>-0</v>
      </c>
      <c r="I82" s="123" t="n">
        <f aca="false">IF(C82="","",BASE_DATA!AQ64*$N$7+BASE_DATA!AP64*$N$8+BASE_DATA!AR64*$N$9+BASE_DATA!AT64*$N$10+BASE_DATA!AS64*$N$11+BASE_DATA!AU64*$N$12)</f>
        <v>0</v>
      </c>
      <c r="J82" s="122" t="n">
        <f aca="false">IF(C82="","",IFERROR(SUMIFS(EVAL_MATCH!E:E,EVAL_MATCH!A:A,A82,EVAL_MATCH!C:C,C82),0))</f>
        <v>0</v>
      </c>
      <c r="K82" s="123" t="n">
        <f aca="false">IF(C82="","",$B$3+F82+G82+H82+I82+J82)</f>
        <v>10</v>
      </c>
      <c r="L82" s="124" t="n">
        <f aca="false">IF(C82="","",MIN(20,MAX(0,K82)))</f>
        <v>10</v>
      </c>
    </row>
    <row r="83" customFormat="false" ht="13.8" hidden="false" customHeight="false" outlineLevel="0" collapsed="false">
      <c r="A83" s="125" t="n">
        <f aca="false">IFERROR(BASE_DATA!B65,"")</f>
        <v>0</v>
      </c>
      <c r="B83" s="125" t="n">
        <f aca="false">IFERROR(BASE_DATA!B65,"")</f>
        <v>0</v>
      </c>
      <c r="C83" s="125" t="n">
        <f aca="false">IFERROR(BASE_DATA!G65,"")</f>
        <v>0</v>
      </c>
      <c r="D83" s="125" t="n">
        <f aca="false">IFERROR(BASE_DATA!I65,"")</f>
        <v>0</v>
      </c>
      <c r="E83" s="126" t="n">
        <f aca="false">IFERROR(BASE_DATA!R65,"")</f>
        <v>0</v>
      </c>
      <c r="F83" s="127" t="n">
        <f aca="false">IF(C83="","",BASE_DATA!T65*$B$7+BASE_DATA!U65*$B$8+BASE_DATA!W65*$B$9+BASE_DATA!Y65*$B$10+BASE_DATA!X65*$B$11+BASE_DATA!AH65*$B$12+BASE_DATA!AM65*$B$13)</f>
        <v>0</v>
      </c>
      <c r="G83" s="127" t="n">
        <f aca="false">IF(C83="","",BASE_DATA!AN65*$F$7+BASE_DATA!AO65*$F$8+BASE_DATA!AJ65*$F$9)</f>
        <v>0</v>
      </c>
      <c r="H83" s="127" t="n">
        <f aca="false">IF(C83="","",BASE_DATA!AD65*$J$7+BASE_DATA!AG65*$J$8+BASE_DATA!AE65*$J$9+BASE_DATA!AL65*$J$10+BASE_DATA!AB65*$J$11+BASE_DATA!AC65*$J$12+BASE_DATA!AF65*$J$13)</f>
        <v>-0</v>
      </c>
      <c r="I83" s="127" t="n">
        <f aca="false">IF(C83="","",BASE_DATA!AQ65*$N$7+BASE_DATA!AP65*$N$8+BASE_DATA!AR65*$N$9+BASE_DATA!AT65*$N$10+BASE_DATA!AS65*$N$11+BASE_DATA!AU65*$N$12)</f>
        <v>0</v>
      </c>
      <c r="J83" s="122" t="n">
        <f aca="false">IF(C83="","",IFERROR(SUMIFS(EVAL_MATCH!E:E,EVAL_MATCH!A:A,A83,EVAL_MATCH!C:C,C83),0))</f>
        <v>0</v>
      </c>
      <c r="K83" s="127" t="n">
        <f aca="false">IF(C83="","",$B$3+F83+G83+H83+I83+J83)</f>
        <v>10</v>
      </c>
      <c r="L83" s="128" t="n">
        <f aca="false">IF(C83="","",MIN(20,MAX(0,K83)))</f>
        <v>10</v>
      </c>
    </row>
    <row r="84" customFormat="false" ht="13.8" hidden="false" customHeight="false" outlineLevel="0" collapsed="false">
      <c r="A84" s="121" t="n">
        <f aca="false">IFERROR(BASE_DATA!B66,"")</f>
        <v>0</v>
      </c>
      <c r="B84" s="121" t="n">
        <f aca="false">IFERROR(BASE_DATA!B66,"")</f>
        <v>0</v>
      </c>
      <c r="C84" s="121" t="n">
        <f aca="false">IFERROR(BASE_DATA!G66,"")</f>
        <v>0</v>
      </c>
      <c r="D84" s="121" t="n">
        <f aca="false">IFERROR(BASE_DATA!I66,"")</f>
        <v>0</v>
      </c>
      <c r="E84" s="122" t="n">
        <f aca="false">IFERROR(BASE_DATA!R66,"")</f>
        <v>0</v>
      </c>
      <c r="F84" s="123" t="n">
        <f aca="false">IF(C84="","",BASE_DATA!T66*$B$7+BASE_DATA!U66*$B$8+BASE_DATA!W66*$B$9+BASE_DATA!Y66*$B$10+BASE_DATA!X66*$B$11+BASE_DATA!AH66*$B$12+BASE_DATA!AM66*$B$13)</f>
        <v>0</v>
      </c>
      <c r="G84" s="123" t="n">
        <f aca="false">IF(C84="","",BASE_DATA!AN66*$F$7+BASE_DATA!AO66*$F$8+BASE_DATA!AJ66*$F$9)</f>
        <v>0</v>
      </c>
      <c r="H84" s="123" t="n">
        <f aca="false">IF(C84="","",BASE_DATA!AD66*$J$7+BASE_DATA!AG66*$J$8+BASE_DATA!AE66*$J$9+BASE_DATA!AL66*$J$10+BASE_DATA!AB66*$J$11+BASE_DATA!AC66*$J$12+BASE_DATA!AF66*$J$13)</f>
        <v>-0</v>
      </c>
      <c r="I84" s="123" t="n">
        <f aca="false">IF(C84="","",BASE_DATA!AQ66*$N$7+BASE_DATA!AP66*$N$8+BASE_DATA!AR66*$N$9+BASE_DATA!AT66*$N$10+BASE_DATA!AS66*$N$11+BASE_DATA!AU66*$N$12)</f>
        <v>0</v>
      </c>
      <c r="J84" s="122" t="n">
        <f aca="false">IF(C84="","",IFERROR(SUMIFS(EVAL_MATCH!E:E,EVAL_MATCH!A:A,A84,EVAL_MATCH!C:C,C84),0))</f>
        <v>0</v>
      </c>
      <c r="K84" s="123" t="n">
        <f aca="false">IF(C84="","",$B$3+F84+G84+H84+I84+J84)</f>
        <v>10</v>
      </c>
      <c r="L84" s="124" t="n">
        <f aca="false">IF(C84="","",MIN(20,MAX(0,K84)))</f>
        <v>10</v>
      </c>
    </row>
    <row r="85" customFormat="false" ht="13.8" hidden="false" customHeight="false" outlineLevel="0" collapsed="false">
      <c r="A85" s="125" t="n">
        <f aca="false">IFERROR(BASE_DATA!B67,"")</f>
        <v>0</v>
      </c>
      <c r="B85" s="125" t="n">
        <f aca="false">IFERROR(BASE_DATA!B67,"")</f>
        <v>0</v>
      </c>
      <c r="C85" s="125" t="n">
        <f aca="false">IFERROR(BASE_DATA!G67,"")</f>
        <v>0</v>
      </c>
      <c r="D85" s="125" t="n">
        <f aca="false">IFERROR(BASE_DATA!I67,"")</f>
        <v>0</v>
      </c>
      <c r="E85" s="126" t="n">
        <f aca="false">IFERROR(BASE_DATA!R67,"")</f>
        <v>0</v>
      </c>
      <c r="F85" s="127" t="n">
        <f aca="false">IF(C85="","",BASE_DATA!T67*$B$7+BASE_DATA!U67*$B$8+BASE_DATA!W67*$B$9+BASE_DATA!Y67*$B$10+BASE_DATA!X67*$B$11+BASE_DATA!AH67*$B$12+BASE_DATA!AM67*$B$13)</f>
        <v>0</v>
      </c>
      <c r="G85" s="127" t="n">
        <f aca="false">IF(C85="","",BASE_DATA!AN67*$F$7+BASE_DATA!AO67*$F$8+BASE_DATA!AJ67*$F$9)</f>
        <v>0</v>
      </c>
      <c r="H85" s="127" t="n">
        <f aca="false">IF(C85="","",BASE_DATA!AD67*$J$7+BASE_DATA!AG67*$J$8+BASE_DATA!AE67*$J$9+BASE_DATA!AL67*$J$10+BASE_DATA!AB67*$J$11+BASE_DATA!AC67*$J$12+BASE_DATA!AF67*$J$13)</f>
        <v>-0</v>
      </c>
      <c r="I85" s="127" t="n">
        <f aca="false">IF(C85="","",BASE_DATA!AQ67*$N$7+BASE_DATA!AP67*$N$8+BASE_DATA!AR67*$N$9+BASE_DATA!AT67*$N$10+BASE_DATA!AS67*$N$11+BASE_DATA!AU67*$N$12)</f>
        <v>0</v>
      </c>
      <c r="J85" s="122" t="n">
        <f aca="false">IF(C85="","",IFERROR(SUMIFS(EVAL_MATCH!E:E,EVAL_MATCH!A:A,A85,EVAL_MATCH!C:C,C85),0))</f>
        <v>0</v>
      </c>
      <c r="K85" s="127" t="n">
        <f aca="false">IF(C85="","",$B$3+F85+G85+H85+I85+J85)</f>
        <v>10</v>
      </c>
      <c r="L85" s="128" t="n">
        <f aca="false">IF(C85="","",MIN(20,MAX(0,K85)))</f>
        <v>10</v>
      </c>
    </row>
    <row r="86" customFormat="false" ht="13.8" hidden="false" customHeight="false" outlineLevel="0" collapsed="false">
      <c r="A86" s="121" t="n">
        <f aca="false">IFERROR(BASE_DATA!B68,"")</f>
        <v>0</v>
      </c>
      <c r="B86" s="121" t="n">
        <f aca="false">IFERROR(BASE_DATA!B68,"")</f>
        <v>0</v>
      </c>
      <c r="C86" s="121" t="n">
        <f aca="false">IFERROR(BASE_DATA!G68,"")</f>
        <v>0</v>
      </c>
      <c r="D86" s="121" t="n">
        <f aca="false">IFERROR(BASE_DATA!I68,"")</f>
        <v>0</v>
      </c>
      <c r="E86" s="122" t="n">
        <f aca="false">IFERROR(BASE_DATA!R68,"")</f>
        <v>0</v>
      </c>
      <c r="F86" s="123" t="n">
        <f aca="false">IF(C86="","",BASE_DATA!T68*$B$7+BASE_DATA!U68*$B$8+BASE_DATA!W68*$B$9+BASE_DATA!Y68*$B$10+BASE_DATA!X68*$B$11+BASE_DATA!AH68*$B$12+BASE_DATA!AM68*$B$13)</f>
        <v>0</v>
      </c>
      <c r="G86" s="123" t="n">
        <f aca="false">IF(C86="","",BASE_DATA!AN68*$F$7+BASE_DATA!AO68*$F$8+BASE_DATA!AJ68*$F$9)</f>
        <v>0</v>
      </c>
      <c r="H86" s="123" t="n">
        <f aca="false">IF(C86="","",BASE_DATA!AD68*$J$7+BASE_DATA!AG68*$J$8+BASE_DATA!AE68*$J$9+BASE_DATA!AL68*$J$10+BASE_DATA!AB68*$J$11+BASE_DATA!AC68*$J$12+BASE_DATA!AF68*$J$13)</f>
        <v>-0</v>
      </c>
      <c r="I86" s="123" t="n">
        <f aca="false">IF(C86="","",BASE_DATA!AQ68*$N$7+BASE_DATA!AP68*$N$8+BASE_DATA!AR68*$N$9+BASE_DATA!AT68*$N$10+BASE_DATA!AS68*$N$11+BASE_DATA!AU68*$N$12)</f>
        <v>0</v>
      </c>
      <c r="J86" s="122" t="n">
        <f aca="false">IF(C86="","",IFERROR(SUMIFS(EVAL_MATCH!E:E,EVAL_MATCH!A:A,A86,EVAL_MATCH!C:C,C86),0))</f>
        <v>0</v>
      </c>
      <c r="K86" s="123" t="n">
        <f aca="false">IF(C86="","",$B$3+F86+G86+H86+I86+J86)</f>
        <v>10</v>
      </c>
      <c r="L86" s="124" t="n">
        <f aca="false">IF(C86="","",MIN(20,MAX(0,K86)))</f>
        <v>10</v>
      </c>
    </row>
    <row r="87" customFormat="false" ht="13.8" hidden="false" customHeight="false" outlineLevel="0" collapsed="false">
      <c r="A87" s="125" t="n">
        <f aca="false">IFERROR(BASE_DATA!B69,"")</f>
        <v>0</v>
      </c>
      <c r="B87" s="125" t="n">
        <f aca="false">IFERROR(BASE_DATA!B69,"")</f>
        <v>0</v>
      </c>
      <c r="C87" s="125" t="n">
        <f aca="false">IFERROR(BASE_DATA!G69,"")</f>
        <v>0</v>
      </c>
      <c r="D87" s="125" t="n">
        <f aca="false">IFERROR(BASE_DATA!I69,"")</f>
        <v>0</v>
      </c>
      <c r="E87" s="126" t="n">
        <f aca="false">IFERROR(BASE_DATA!R69,"")</f>
        <v>0</v>
      </c>
      <c r="F87" s="127" t="n">
        <f aca="false">IF(C87="","",BASE_DATA!T69*$B$7+BASE_DATA!U69*$B$8+BASE_DATA!W69*$B$9+BASE_DATA!Y69*$B$10+BASE_DATA!X69*$B$11+BASE_DATA!AH69*$B$12+BASE_DATA!AM69*$B$13)</f>
        <v>0</v>
      </c>
      <c r="G87" s="127" t="n">
        <f aca="false">IF(C87="","",BASE_DATA!AN69*$F$7+BASE_DATA!AO69*$F$8+BASE_DATA!AJ69*$F$9)</f>
        <v>0</v>
      </c>
      <c r="H87" s="127" t="n">
        <f aca="false">IF(C87="","",BASE_DATA!AD69*$J$7+BASE_DATA!AG69*$J$8+BASE_DATA!AE69*$J$9+BASE_DATA!AL69*$J$10+BASE_DATA!AB69*$J$11+BASE_DATA!AC69*$J$12+BASE_DATA!AF69*$J$13)</f>
        <v>-0</v>
      </c>
      <c r="I87" s="127" t="n">
        <f aca="false">IF(C87="","",BASE_DATA!AQ69*$N$7+BASE_DATA!AP69*$N$8+BASE_DATA!AR69*$N$9+BASE_DATA!AT69*$N$10+BASE_DATA!AS69*$N$11+BASE_DATA!AU69*$N$12)</f>
        <v>0</v>
      </c>
      <c r="J87" s="122" t="n">
        <f aca="false">IF(C87="","",IFERROR(SUMIFS(EVAL_MATCH!E:E,EVAL_MATCH!A:A,A87,EVAL_MATCH!C:C,C87),0))</f>
        <v>0</v>
      </c>
      <c r="K87" s="127" t="n">
        <f aca="false">IF(C87="","",$B$3+F87+G87+H87+I87+J87)</f>
        <v>10</v>
      </c>
      <c r="L87" s="128" t="n">
        <f aca="false">IF(C87="","",MIN(20,MAX(0,K87)))</f>
        <v>10</v>
      </c>
    </row>
    <row r="88" customFormat="false" ht="13.8" hidden="false" customHeight="false" outlineLevel="0" collapsed="false">
      <c r="A88" s="121" t="n">
        <f aca="false">IFERROR(BASE_DATA!B70,"")</f>
        <v>0</v>
      </c>
      <c r="B88" s="121" t="n">
        <f aca="false">IFERROR(BASE_DATA!B70,"")</f>
        <v>0</v>
      </c>
      <c r="C88" s="121" t="n">
        <f aca="false">IFERROR(BASE_DATA!G70,"")</f>
        <v>0</v>
      </c>
      <c r="D88" s="121" t="n">
        <f aca="false">IFERROR(BASE_DATA!I70,"")</f>
        <v>0</v>
      </c>
      <c r="E88" s="122" t="n">
        <f aca="false">IFERROR(BASE_DATA!R70,"")</f>
        <v>0</v>
      </c>
      <c r="F88" s="123" t="n">
        <f aca="false">IF(C88="","",BASE_DATA!T70*$B$7+BASE_DATA!U70*$B$8+BASE_DATA!W70*$B$9+BASE_DATA!Y70*$B$10+BASE_DATA!X70*$B$11+BASE_DATA!AH70*$B$12+BASE_DATA!AM70*$B$13)</f>
        <v>0</v>
      </c>
      <c r="G88" s="123" t="n">
        <f aca="false">IF(C88="","",BASE_DATA!AN70*$F$7+BASE_DATA!AO70*$F$8+BASE_DATA!AJ70*$F$9)</f>
        <v>0</v>
      </c>
      <c r="H88" s="123" t="n">
        <f aca="false">IF(C88="","",BASE_DATA!AD70*$J$7+BASE_DATA!AG70*$J$8+BASE_DATA!AE70*$J$9+BASE_DATA!AL70*$J$10+BASE_DATA!AB70*$J$11+BASE_DATA!AC70*$J$12+BASE_DATA!AF70*$J$13)</f>
        <v>-0</v>
      </c>
      <c r="I88" s="123" t="n">
        <f aca="false">IF(C88="","",BASE_DATA!AQ70*$N$7+BASE_DATA!AP70*$N$8+BASE_DATA!AR70*$N$9+BASE_DATA!AT70*$N$10+BASE_DATA!AS70*$N$11+BASE_DATA!AU70*$N$12)</f>
        <v>0</v>
      </c>
      <c r="J88" s="122" t="n">
        <f aca="false">IF(C88="","",IFERROR(SUMIFS(EVAL_MATCH!E:E,EVAL_MATCH!A:A,A88,EVAL_MATCH!C:C,C88),0))</f>
        <v>0</v>
      </c>
      <c r="K88" s="123" t="n">
        <f aca="false">IF(C88="","",$B$3+F88+G88+H88+I88+J88)</f>
        <v>10</v>
      </c>
      <c r="L88" s="124" t="n">
        <f aca="false">IF(C88="","",MIN(20,MAX(0,K88)))</f>
        <v>10</v>
      </c>
    </row>
    <row r="89" customFormat="false" ht="13.8" hidden="false" customHeight="false" outlineLevel="0" collapsed="false">
      <c r="A89" s="125" t="n">
        <f aca="false">IFERROR(BASE_DATA!B71,"")</f>
        <v>0</v>
      </c>
      <c r="B89" s="125" t="n">
        <f aca="false">IFERROR(BASE_DATA!B71,"")</f>
        <v>0</v>
      </c>
      <c r="C89" s="125" t="n">
        <f aca="false">IFERROR(BASE_DATA!G71,"")</f>
        <v>0</v>
      </c>
      <c r="D89" s="125" t="n">
        <f aca="false">IFERROR(BASE_DATA!I71,"")</f>
        <v>0</v>
      </c>
      <c r="E89" s="126" t="n">
        <f aca="false">IFERROR(BASE_DATA!R71,"")</f>
        <v>0</v>
      </c>
      <c r="F89" s="127" t="n">
        <f aca="false">IF(C89="","",BASE_DATA!T71*$B$7+BASE_DATA!U71*$B$8+BASE_DATA!W71*$B$9+BASE_DATA!Y71*$B$10+BASE_DATA!X71*$B$11+BASE_DATA!AH71*$B$12+BASE_DATA!AM71*$B$13)</f>
        <v>0</v>
      </c>
      <c r="G89" s="127" t="n">
        <f aca="false">IF(C89="","",BASE_DATA!AN71*$F$7+BASE_DATA!AO71*$F$8+BASE_DATA!AJ71*$F$9)</f>
        <v>0</v>
      </c>
      <c r="H89" s="127" t="n">
        <f aca="false">IF(C89="","",BASE_DATA!AD71*$J$7+BASE_DATA!AG71*$J$8+BASE_DATA!AE71*$J$9+BASE_DATA!AL71*$J$10+BASE_DATA!AB71*$J$11+BASE_DATA!AC71*$J$12+BASE_DATA!AF71*$J$13)</f>
        <v>-0</v>
      </c>
      <c r="I89" s="127" t="n">
        <f aca="false">IF(C89="","",BASE_DATA!AQ71*$N$7+BASE_DATA!AP71*$N$8+BASE_DATA!AR71*$N$9+BASE_DATA!AT71*$N$10+BASE_DATA!AS71*$N$11+BASE_DATA!AU71*$N$12)</f>
        <v>0</v>
      </c>
      <c r="J89" s="122" t="n">
        <f aca="false">IF(C89="","",IFERROR(SUMIFS(EVAL_MATCH!E:E,EVAL_MATCH!A:A,A89,EVAL_MATCH!C:C,C89),0))</f>
        <v>0</v>
      </c>
      <c r="K89" s="127" t="n">
        <f aca="false">IF(C89="","",$B$3+F89+G89+H89+I89+J89)</f>
        <v>10</v>
      </c>
      <c r="L89" s="128" t="n">
        <f aca="false">IF(C89="","",MIN(20,MAX(0,K89)))</f>
        <v>10</v>
      </c>
    </row>
    <row r="90" customFormat="false" ht="13.8" hidden="false" customHeight="false" outlineLevel="0" collapsed="false">
      <c r="A90" s="121" t="n">
        <f aca="false">IFERROR(BASE_DATA!B72,"")</f>
        <v>0</v>
      </c>
      <c r="B90" s="121" t="n">
        <f aca="false">IFERROR(BASE_DATA!B72,"")</f>
        <v>0</v>
      </c>
      <c r="C90" s="121" t="n">
        <f aca="false">IFERROR(BASE_DATA!G72,"")</f>
        <v>0</v>
      </c>
      <c r="D90" s="121" t="n">
        <f aca="false">IFERROR(BASE_DATA!I72,"")</f>
        <v>0</v>
      </c>
      <c r="E90" s="122" t="n">
        <f aca="false">IFERROR(BASE_DATA!R72,"")</f>
        <v>0</v>
      </c>
      <c r="F90" s="123" t="n">
        <f aca="false">IF(C90="","",BASE_DATA!T72*$B$7+BASE_DATA!U72*$B$8+BASE_DATA!W72*$B$9+BASE_DATA!Y72*$B$10+BASE_DATA!X72*$B$11+BASE_DATA!AH72*$B$12+BASE_DATA!AM72*$B$13)</f>
        <v>0</v>
      </c>
      <c r="G90" s="123" t="n">
        <f aca="false">IF(C90="","",BASE_DATA!AN72*$F$7+BASE_DATA!AO72*$F$8+BASE_DATA!AJ72*$F$9)</f>
        <v>0</v>
      </c>
      <c r="H90" s="123" t="n">
        <f aca="false">IF(C90="","",BASE_DATA!AD72*$J$7+BASE_DATA!AG72*$J$8+BASE_DATA!AE72*$J$9+BASE_DATA!AL72*$J$10+BASE_DATA!AB72*$J$11+BASE_DATA!AC72*$J$12+BASE_DATA!AF72*$J$13)</f>
        <v>-0</v>
      </c>
      <c r="I90" s="123" t="n">
        <f aca="false">IF(C90="","",BASE_DATA!AQ72*$N$7+BASE_DATA!AP72*$N$8+BASE_DATA!AR72*$N$9+BASE_DATA!AT72*$N$10+BASE_DATA!AS72*$N$11+BASE_DATA!AU72*$N$12)</f>
        <v>0</v>
      </c>
      <c r="J90" s="122" t="n">
        <f aca="false">IF(C90="","",IFERROR(SUMIFS(EVAL_MATCH!E:E,EVAL_MATCH!A:A,A90,EVAL_MATCH!C:C,C90),0))</f>
        <v>0</v>
      </c>
      <c r="K90" s="123" t="n">
        <f aca="false">IF(C90="","",$B$3+F90+G90+H90+I90+J90)</f>
        <v>10</v>
      </c>
      <c r="L90" s="124" t="n">
        <f aca="false">IF(C90="","",MIN(20,MAX(0,K90)))</f>
        <v>10</v>
      </c>
    </row>
    <row r="91" customFormat="false" ht="13.8" hidden="false" customHeight="false" outlineLevel="0" collapsed="false">
      <c r="A91" s="125" t="n">
        <f aca="false">IFERROR(BASE_DATA!B73,"")</f>
        <v>0</v>
      </c>
      <c r="B91" s="125" t="n">
        <f aca="false">IFERROR(BASE_DATA!B73,"")</f>
        <v>0</v>
      </c>
      <c r="C91" s="125" t="n">
        <f aca="false">IFERROR(BASE_DATA!G73,"")</f>
        <v>0</v>
      </c>
      <c r="D91" s="125" t="n">
        <f aca="false">IFERROR(BASE_DATA!I73,"")</f>
        <v>0</v>
      </c>
      <c r="E91" s="126" t="n">
        <f aca="false">IFERROR(BASE_DATA!R73,"")</f>
        <v>0</v>
      </c>
      <c r="F91" s="127" t="n">
        <f aca="false">IF(C91="","",BASE_DATA!T73*$B$7+BASE_DATA!U73*$B$8+BASE_DATA!W73*$B$9+BASE_DATA!Y73*$B$10+BASE_DATA!X73*$B$11+BASE_DATA!AH73*$B$12+BASE_DATA!AM73*$B$13)</f>
        <v>0</v>
      </c>
      <c r="G91" s="127" t="n">
        <f aca="false">IF(C91="","",BASE_DATA!AN73*$F$7+BASE_DATA!AO73*$F$8+BASE_DATA!AJ73*$F$9)</f>
        <v>0</v>
      </c>
      <c r="H91" s="127" t="n">
        <f aca="false">IF(C91="","",BASE_DATA!AD73*$J$7+BASE_DATA!AG73*$J$8+BASE_DATA!AE73*$J$9+BASE_DATA!AL73*$J$10+BASE_DATA!AB73*$J$11+BASE_DATA!AC73*$J$12+BASE_DATA!AF73*$J$13)</f>
        <v>-0</v>
      </c>
      <c r="I91" s="127" t="n">
        <f aca="false">IF(C91="","",BASE_DATA!AQ73*$N$7+BASE_DATA!AP73*$N$8+BASE_DATA!AR73*$N$9+BASE_DATA!AT73*$N$10+BASE_DATA!AS73*$N$11+BASE_DATA!AU73*$N$12)</f>
        <v>0</v>
      </c>
      <c r="J91" s="122" t="n">
        <f aca="false">IF(C91="","",IFERROR(SUMIFS(EVAL_MATCH!E:E,EVAL_MATCH!A:A,A91,EVAL_MATCH!C:C,C91),0))</f>
        <v>0</v>
      </c>
      <c r="K91" s="127" t="n">
        <f aca="false">IF(C91="","",$B$3+F91+G91+H91+I91+J91)</f>
        <v>10</v>
      </c>
      <c r="L91" s="128" t="n">
        <f aca="false">IF(C91="","",MIN(20,MAX(0,K91)))</f>
        <v>10</v>
      </c>
    </row>
    <row r="92" customFormat="false" ht="13.8" hidden="false" customHeight="false" outlineLevel="0" collapsed="false">
      <c r="A92" s="121" t="n">
        <f aca="false">IFERROR(BASE_DATA!B74,"")</f>
        <v>0</v>
      </c>
      <c r="B92" s="121" t="n">
        <f aca="false">IFERROR(BASE_DATA!B74,"")</f>
        <v>0</v>
      </c>
      <c r="C92" s="121" t="n">
        <f aca="false">IFERROR(BASE_DATA!G74,"")</f>
        <v>0</v>
      </c>
      <c r="D92" s="121" t="n">
        <f aca="false">IFERROR(BASE_DATA!I74,"")</f>
        <v>0</v>
      </c>
      <c r="E92" s="122" t="n">
        <f aca="false">IFERROR(BASE_DATA!R74,"")</f>
        <v>0</v>
      </c>
      <c r="F92" s="123" t="n">
        <f aca="false">IF(C92="","",BASE_DATA!T74*$B$7+BASE_DATA!U74*$B$8+BASE_DATA!W74*$B$9+BASE_DATA!Y74*$B$10+BASE_DATA!X74*$B$11+BASE_DATA!AH74*$B$12+BASE_DATA!AM74*$B$13)</f>
        <v>0</v>
      </c>
      <c r="G92" s="123" t="n">
        <f aca="false">IF(C92="","",BASE_DATA!AN74*$F$7+BASE_DATA!AO74*$F$8+BASE_DATA!AJ74*$F$9)</f>
        <v>0</v>
      </c>
      <c r="H92" s="123" t="n">
        <f aca="false">IF(C92="","",BASE_DATA!AD74*$J$7+BASE_DATA!AG74*$J$8+BASE_DATA!AE74*$J$9+BASE_DATA!AL74*$J$10+BASE_DATA!AB74*$J$11+BASE_DATA!AC74*$J$12+BASE_DATA!AF74*$J$13)</f>
        <v>-0</v>
      </c>
      <c r="I92" s="123" t="n">
        <f aca="false">IF(C92="","",BASE_DATA!AQ74*$N$7+BASE_DATA!AP74*$N$8+BASE_DATA!AR74*$N$9+BASE_DATA!AT74*$N$10+BASE_DATA!AS74*$N$11+BASE_DATA!AU74*$N$12)</f>
        <v>0</v>
      </c>
      <c r="J92" s="122" t="n">
        <f aca="false">IF(C92="","",IFERROR(SUMIFS(EVAL_MATCH!E:E,EVAL_MATCH!A:A,A92,EVAL_MATCH!C:C,C92),0))</f>
        <v>0</v>
      </c>
      <c r="K92" s="123" t="n">
        <f aca="false">IF(C92="","",$B$3+F92+G92+H92+I92+J92)</f>
        <v>10</v>
      </c>
      <c r="L92" s="124" t="n">
        <f aca="false">IF(C92="","",MIN(20,MAX(0,K92)))</f>
        <v>10</v>
      </c>
    </row>
    <row r="93" customFormat="false" ht="13.8" hidden="false" customHeight="false" outlineLevel="0" collapsed="false">
      <c r="A93" s="125" t="n">
        <f aca="false">IFERROR(BASE_DATA!B75,"")</f>
        <v>0</v>
      </c>
      <c r="B93" s="125" t="n">
        <f aca="false">IFERROR(BASE_DATA!B75,"")</f>
        <v>0</v>
      </c>
      <c r="C93" s="125" t="n">
        <f aca="false">IFERROR(BASE_DATA!G75,"")</f>
        <v>0</v>
      </c>
      <c r="D93" s="125" t="n">
        <f aca="false">IFERROR(BASE_DATA!I75,"")</f>
        <v>0</v>
      </c>
      <c r="E93" s="126" t="n">
        <f aca="false">IFERROR(BASE_DATA!R75,"")</f>
        <v>0</v>
      </c>
      <c r="F93" s="127" t="n">
        <f aca="false">IF(C93="","",BASE_DATA!T75*$B$7+BASE_DATA!U75*$B$8+BASE_DATA!W75*$B$9+BASE_DATA!Y75*$B$10+BASE_DATA!X75*$B$11+BASE_DATA!AH75*$B$12+BASE_DATA!AM75*$B$13)</f>
        <v>0</v>
      </c>
      <c r="G93" s="127" t="n">
        <f aca="false">IF(C93="","",BASE_DATA!AN75*$F$7+BASE_DATA!AO75*$F$8+BASE_DATA!AJ75*$F$9)</f>
        <v>0</v>
      </c>
      <c r="H93" s="127" t="n">
        <f aca="false">IF(C93="","",BASE_DATA!AD75*$J$7+BASE_DATA!AG75*$J$8+BASE_DATA!AE75*$J$9+BASE_DATA!AL75*$J$10+BASE_DATA!AB75*$J$11+BASE_DATA!AC75*$J$12+BASE_DATA!AF75*$J$13)</f>
        <v>-0</v>
      </c>
      <c r="I93" s="127" t="n">
        <f aca="false">IF(C93="","",BASE_DATA!AQ75*$N$7+BASE_DATA!AP75*$N$8+BASE_DATA!AR75*$N$9+BASE_DATA!AT75*$N$10+BASE_DATA!AS75*$N$11+BASE_DATA!AU75*$N$12)</f>
        <v>0</v>
      </c>
      <c r="J93" s="122" t="n">
        <f aca="false">IF(C93="","",IFERROR(SUMIFS(EVAL_MATCH!E:E,EVAL_MATCH!A:A,A93,EVAL_MATCH!C:C,C93),0))</f>
        <v>0</v>
      </c>
      <c r="K93" s="127" t="n">
        <f aca="false">IF(C93="","",$B$3+F93+G93+H93+I93+J93)</f>
        <v>10</v>
      </c>
      <c r="L93" s="128" t="n">
        <f aca="false">IF(C93="","",MIN(20,MAX(0,K93)))</f>
        <v>10</v>
      </c>
    </row>
    <row r="94" customFormat="false" ht="13.8" hidden="false" customHeight="false" outlineLevel="0" collapsed="false">
      <c r="A94" s="121" t="n">
        <f aca="false">IFERROR(BASE_DATA!B76,"")</f>
        <v>0</v>
      </c>
      <c r="B94" s="121" t="n">
        <f aca="false">IFERROR(BASE_DATA!B76,"")</f>
        <v>0</v>
      </c>
      <c r="C94" s="121" t="n">
        <f aca="false">IFERROR(BASE_DATA!G76,"")</f>
        <v>0</v>
      </c>
      <c r="D94" s="121" t="n">
        <f aca="false">IFERROR(BASE_DATA!I76,"")</f>
        <v>0</v>
      </c>
      <c r="E94" s="122" t="n">
        <f aca="false">IFERROR(BASE_DATA!R76,"")</f>
        <v>0</v>
      </c>
      <c r="F94" s="123" t="n">
        <f aca="false">IF(C94="","",BASE_DATA!T76*$B$7+BASE_DATA!U76*$B$8+BASE_DATA!W76*$B$9+BASE_DATA!Y76*$B$10+BASE_DATA!X76*$B$11+BASE_DATA!AH76*$B$12+BASE_DATA!AM76*$B$13)</f>
        <v>0</v>
      </c>
      <c r="G94" s="123" t="n">
        <f aca="false">IF(C94="","",BASE_DATA!AN76*$F$7+BASE_DATA!AO76*$F$8+BASE_DATA!AJ76*$F$9)</f>
        <v>0</v>
      </c>
      <c r="H94" s="123" t="n">
        <f aca="false">IF(C94="","",BASE_DATA!AD76*$J$7+BASE_DATA!AG76*$J$8+BASE_DATA!AE76*$J$9+BASE_DATA!AL76*$J$10+BASE_DATA!AB76*$J$11+BASE_DATA!AC76*$J$12+BASE_DATA!AF76*$J$13)</f>
        <v>-0</v>
      </c>
      <c r="I94" s="123" t="n">
        <f aca="false">IF(C94="","",BASE_DATA!AQ76*$N$7+BASE_DATA!AP76*$N$8+BASE_DATA!AR76*$N$9+BASE_DATA!AT76*$N$10+BASE_DATA!AS76*$N$11+BASE_DATA!AU76*$N$12)</f>
        <v>0</v>
      </c>
      <c r="J94" s="122" t="n">
        <f aca="false">IF(C94="","",IFERROR(SUMIFS(EVAL_MATCH!E:E,EVAL_MATCH!A:A,A94,EVAL_MATCH!C:C,C94),0))</f>
        <v>0</v>
      </c>
      <c r="K94" s="123" t="n">
        <f aca="false">IF(C94="","",$B$3+F94+G94+H94+I94+J94)</f>
        <v>10</v>
      </c>
      <c r="L94" s="124" t="n">
        <f aca="false">IF(C94="","",MIN(20,MAX(0,K94)))</f>
        <v>10</v>
      </c>
    </row>
    <row r="95" customFormat="false" ht="13.8" hidden="false" customHeight="false" outlineLevel="0" collapsed="false">
      <c r="A95" s="125" t="n">
        <f aca="false">IFERROR(BASE_DATA!B77,"")</f>
        <v>0</v>
      </c>
      <c r="B95" s="125" t="n">
        <f aca="false">IFERROR(BASE_DATA!B77,"")</f>
        <v>0</v>
      </c>
      <c r="C95" s="125" t="n">
        <f aca="false">IFERROR(BASE_DATA!G77,"")</f>
        <v>0</v>
      </c>
      <c r="D95" s="125" t="n">
        <f aca="false">IFERROR(BASE_DATA!I77,"")</f>
        <v>0</v>
      </c>
      <c r="E95" s="126" t="n">
        <f aca="false">IFERROR(BASE_DATA!R77,"")</f>
        <v>0</v>
      </c>
      <c r="F95" s="127" t="n">
        <f aca="false">IF(C95="","",BASE_DATA!T77*$B$7+BASE_DATA!U77*$B$8+BASE_DATA!W77*$B$9+BASE_DATA!Y77*$B$10+BASE_DATA!X77*$B$11+BASE_DATA!AH77*$B$12+BASE_DATA!AM77*$B$13)</f>
        <v>0</v>
      </c>
      <c r="G95" s="127" t="n">
        <f aca="false">IF(C95="","",BASE_DATA!AN77*$F$7+BASE_DATA!AO77*$F$8+BASE_DATA!AJ77*$F$9)</f>
        <v>0</v>
      </c>
      <c r="H95" s="127" t="n">
        <f aca="false">IF(C95="","",BASE_DATA!AD77*$J$7+BASE_DATA!AG77*$J$8+BASE_DATA!AE77*$J$9+BASE_DATA!AL77*$J$10+BASE_DATA!AB77*$J$11+BASE_DATA!AC77*$J$12+BASE_DATA!AF77*$J$13)</f>
        <v>-0</v>
      </c>
      <c r="I95" s="127" t="n">
        <f aca="false">IF(C95="","",BASE_DATA!AQ77*$N$7+BASE_DATA!AP77*$N$8+BASE_DATA!AR77*$N$9+BASE_DATA!AT77*$N$10+BASE_DATA!AS77*$N$11+BASE_DATA!AU77*$N$12)</f>
        <v>0</v>
      </c>
      <c r="J95" s="122" t="n">
        <f aca="false">IF(C95="","",IFERROR(SUMIFS(EVAL_MATCH!E:E,EVAL_MATCH!A:A,A95,EVAL_MATCH!C:C,C95),0))</f>
        <v>0</v>
      </c>
      <c r="K95" s="127" t="n">
        <f aca="false">IF(C95="","",$B$3+F95+G95+H95+I95+J95)</f>
        <v>10</v>
      </c>
      <c r="L95" s="128" t="n">
        <f aca="false">IF(C95="","",MIN(20,MAX(0,K95)))</f>
        <v>10</v>
      </c>
    </row>
    <row r="96" customFormat="false" ht="13.8" hidden="false" customHeight="false" outlineLevel="0" collapsed="false">
      <c r="A96" s="121" t="n">
        <f aca="false">IFERROR(BASE_DATA!B78,"")</f>
        <v>0</v>
      </c>
      <c r="B96" s="121" t="n">
        <f aca="false">IFERROR(BASE_DATA!B78,"")</f>
        <v>0</v>
      </c>
      <c r="C96" s="121" t="n">
        <f aca="false">IFERROR(BASE_DATA!G78,"")</f>
        <v>0</v>
      </c>
      <c r="D96" s="121" t="n">
        <f aca="false">IFERROR(BASE_DATA!I78,"")</f>
        <v>0</v>
      </c>
      <c r="E96" s="122" t="n">
        <f aca="false">IFERROR(BASE_DATA!R78,"")</f>
        <v>0</v>
      </c>
      <c r="F96" s="123" t="n">
        <f aca="false">IF(C96="","",BASE_DATA!T78*$B$7+BASE_DATA!U78*$B$8+BASE_DATA!W78*$B$9+BASE_DATA!Y78*$B$10+BASE_DATA!X78*$B$11+BASE_DATA!AH78*$B$12+BASE_DATA!AM78*$B$13)</f>
        <v>0</v>
      </c>
      <c r="G96" s="123" t="n">
        <f aca="false">IF(C96="","",BASE_DATA!AN78*$F$7+BASE_DATA!AO78*$F$8+BASE_DATA!AJ78*$F$9)</f>
        <v>0</v>
      </c>
      <c r="H96" s="123" t="n">
        <f aca="false">IF(C96="","",BASE_DATA!AD78*$J$7+BASE_DATA!AG78*$J$8+BASE_DATA!AE78*$J$9+BASE_DATA!AL78*$J$10+BASE_DATA!AB78*$J$11+BASE_DATA!AC78*$J$12+BASE_DATA!AF78*$J$13)</f>
        <v>-0</v>
      </c>
      <c r="I96" s="123" t="n">
        <f aca="false">IF(C96="","",BASE_DATA!AQ78*$N$7+BASE_DATA!AP78*$N$8+BASE_DATA!AR78*$N$9+BASE_DATA!AT78*$N$10+BASE_DATA!AS78*$N$11+BASE_DATA!AU78*$N$12)</f>
        <v>0</v>
      </c>
      <c r="J96" s="122" t="n">
        <f aca="false">IF(C96="","",IFERROR(SUMIFS(EVAL_MATCH!E:E,EVAL_MATCH!A:A,A96,EVAL_MATCH!C:C,C96),0))</f>
        <v>0</v>
      </c>
      <c r="K96" s="123" t="n">
        <f aca="false">IF(C96="","",$B$3+F96+G96+H96+I96+J96)</f>
        <v>10</v>
      </c>
      <c r="L96" s="124" t="n">
        <f aca="false">IF(C96="","",MIN(20,MAX(0,K96)))</f>
        <v>10</v>
      </c>
    </row>
    <row r="97" customFormat="false" ht="13.8" hidden="false" customHeight="false" outlineLevel="0" collapsed="false">
      <c r="A97" s="125" t="n">
        <f aca="false">IFERROR(BASE_DATA!B79,"")</f>
        <v>0</v>
      </c>
      <c r="B97" s="125" t="n">
        <f aca="false">IFERROR(BASE_DATA!B79,"")</f>
        <v>0</v>
      </c>
      <c r="C97" s="125" t="n">
        <f aca="false">IFERROR(BASE_DATA!G79,"")</f>
        <v>0</v>
      </c>
      <c r="D97" s="125" t="n">
        <f aca="false">IFERROR(BASE_DATA!I79,"")</f>
        <v>0</v>
      </c>
      <c r="E97" s="126" t="n">
        <f aca="false">IFERROR(BASE_DATA!R79,"")</f>
        <v>0</v>
      </c>
      <c r="F97" s="127" t="n">
        <f aca="false">IF(C97="","",BASE_DATA!T79*$B$7+BASE_DATA!U79*$B$8+BASE_DATA!W79*$B$9+BASE_DATA!Y79*$B$10+BASE_DATA!X79*$B$11+BASE_DATA!AH79*$B$12+BASE_DATA!AM79*$B$13)</f>
        <v>0</v>
      </c>
      <c r="G97" s="127" t="n">
        <f aca="false">IF(C97="","",BASE_DATA!AN79*$F$7+BASE_DATA!AO79*$F$8+BASE_DATA!AJ79*$F$9)</f>
        <v>0</v>
      </c>
      <c r="H97" s="127" t="n">
        <f aca="false">IF(C97="","",BASE_DATA!AD79*$J$7+BASE_DATA!AG79*$J$8+BASE_DATA!AE79*$J$9+BASE_DATA!AL79*$J$10+BASE_DATA!AB79*$J$11+BASE_DATA!AC79*$J$12+BASE_DATA!AF79*$J$13)</f>
        <v>-0</v>
      </c>
      <c r="I97" s="127" t="n">
        <f aca="false">IF(C97="","",BASE_DATA!AQ79*$N$7+BASE_DATA!AP79*$N$8+BASE_DATA!AR79*$N$9+BASE_DATA!AT79*$N$10+BASE_DATA!AS79*$N$11+BASE_DATA!AU79*$N$12)</f>
        <v>0</v>
      </c>
      <c r="J97" s="122" t="n">
        <f aca="false">IF(C97="","",IFERROR(SUMIFS(EVAL_MATCH!E:E,EVAL_MATCH!A:A,A97,EVAL_MATCH!C:C,C97),0))</f>
        <v>0</v>
      </c>
      <c r="K97" s="127" t="n">
        <f aca="false">IF(C97="","",$B$3+F97+G97+H97+I97+J97)</f>
        <v>10</v>
      </c>
      <c r="L97" s="128" t="n">
        <f aca="false">IF(C97="","",MIN(20,MAX(0,K97)))</f>
        <v>10</v>
      </c>
    </row>
    <row r="98" customFormat="false" ht="13.8" hidden="false" customHeight="false" outlineLevel="0" collapsed="false">
      <c r="A98" s="121" t="n">
        <f aca="false">IFERROR(BASE_DATA!B80,"")</f>
        <v>0</v>
      </c>
      <c r="B98" s="121" t="n">
        <f aca="false">IFERROR(BASE_DATA!B80,"")</f>
        <v>0</v>
      </c>
      <c r="C98" s="121" t="n">
        <f aca="false">IFERROR(BASE_DATA!G80,"")</f>
        <v>0</v>
      </c>
      <c r="D98" s="121" t="n">
        <f aca="false">IFERROR(BASE_DATA!I80,"")</f>
        <v>0</v>
      </c>
      <c r="E98" s="122" t="n">
        <f aca="false">IFERROR(BASE_DATA!R80,"")</f>
        <v>0</v>
      </c>
      <c r="F98" s="123" t="n">
        <f aca="false">IF(C98="","",BASE_DATA!T80*$B$7+BASE_DATA!U80*$B$8+BASE_DATA!W80*$B$9+BASE_DATA!Y80*$B$10+BASE_DATA!X80*$B$11+BASE_DATA!AH80*$B$12+BASE_DATA!AM80*$B$13)</f>
        <v>0</v>
      </c>
      <c r="G98" s="123" t="n">
        <f aca="false">IF(C98="","",BASE_DATA!AN80*$F$7+BASE_DATA!AO80*$F$8+BASE_DATA!AJ80*$F$9)</f>
        <v>0</v>
      </c>
      <c r="H98" s="123" t="n">
        <f aca="false">IF(C98="","",BASE_DATA!AD80*$J$7+BASE_DATA!AG80*$J$8+BASE_DATA!AE80*$J$9+BASE_DATA!AL80*$J$10+BASE_DATA!AB80*$J$11+BASE_DATA!AC80*$J$12+BASE_DATA!AF80*$J$13)</f>
        <v>-0</v>
      </c>
      <c r="I98" s="123" t="n">
        <f aca="false">IF(C98="","",BASE_DATA!AQ80*$N$7+BASE_DATA!AP80*$N$8+BASE_DATA!AR80*$N$9+BASE_DATA!AT80*$N$10+BASE_DATA!AS80*$N$11+BASE_DATA!AU80*$N$12)</f>
        <v>0</v>
      </c>
      <c r="J98" s="122" t="n">
        <f aca="false">IF(C98="","",IFERROR(SUMIFS(EVAL_MATCH!E:E,EVAL_MATCH!A:A,A98,EVAL_MATCH!C:C,C98),0))</f>
        <v>0</v>
      </c>
      <c r="K98" s="123" t="n">
        <f aca="false">IF(C98="","",$B$3+F98+G98+H98+I98+J98)</f>
        <v>10</v>
      </c>
      <c r="L98" s="124" t="n">
        <f aca="false">IF(C98="","",MIN(20,MAX(0,K98)))</f>
        <v>10</v>
      </c>
    </row>
    <row r="99" customFormat="false" ht="13.8" hidden="false" customHeight="false" outlineLevel="0" collapsed="false">
      <c r="A99" s="125" t="n">
        <f aca="false">IFERROR(BASE_DATA!B81,"")</f>
        <v>0</v>
      </c>
      <c r="B99" s="125" t="n">
        <f aca="false">IFERROR(BASE_DATA!B81,"")</f>
        <v>0</v>
      </c>
      <c r="C99" s="125" t="n">
        <f aca="false">IFERROR(BASE_DATA!G81,"")</f>
        <v>0</v>
      </c>
      <c r="D99" s="125" t="n">
        <f aca="false">IFERROR(BASE_DATA!I81,"")</f>
        <v>0</v>
      </c>
      <c r="E99" s="126" t="n">
        <f aca="false">IFERROR(BASE_DATA!R81,"")</f>
        <v>0</v>
      </c>
      <c r="F99" s="127" t="n">
        <f aca="false">IF(C99="","",BASE_DATA!T81*$B$7+BASE_DATA!U81*$B$8+BASE_DATA!W81*$B$9+BASE_DATA!Y81*$B$10+BASE_DATA!X81*$B$11+BASE_DATA!AH81*$B$12+BASE_DATA!AM81*$B$13)</f>
        <v>0</v>
      </c>
      <c r="G99" s="127" t="n">
        <f aca="false">IF(C99="","",BASE_DATA!AN81*$F$7+BASE_DATA!AO81*$F$8+BASE_DATA!AJ81*$F$9)</f>
        <v>0</v>
      </c>
      <c r="H99" s="127" t="n">
        <f aca="false">IF(C99="","",BASE_DATA!AD81*$J$7+BASE_DATA!AG81*$J$8+BASE_DATA!AE81*$J$9+BASE_DATA!AL81*$J$10+BASE_DATA!AB81*$J$11+BASE_DATA!AC81*$J$12+BASE_DATA!AF81*$J$13)</f>
        <v>-0</v>
      </c>
      <c r="I99" s="127" t="n">
        <f aca="false">IF(C99="","",BASE_DATA!AQ81*$N$7+BASE_DATA!AP81*$N$8+BASE_DATA!AR81*$N$9+BASE_DATA!AT81*$N$10+BASE_DATA!AS81*$N$11+BASE_DATA!AU81*$N$12)</f>
        <v>0</v>
      </c>
      <c r="J99" s="122" t="n">
        <f aca="false">IF(C99="","",IFERROR(SUMIFS(EVAL_MATCH!E:E,EVAL_MATCH!A:A,A99,EVAL_MATCH!C:C,C99),0))</f>
        <v>0</v>
      </c>
      <c r="K99" s="127" t="n">
        <f aca="false">IF(C99="","",$B$3+F99+G99+H99+I99+J99)</f>
        <v>10</v>
      </c>
      <c r="L99" s="128" t="n">
        <f aca="false">IF(C99="","",MIN(20,MAX(0,K99)))</f>
        <v>10</v>
      </c>
    </row>
  </sheetData>
  <mergeCells count="8">
    <mergeCell ref="A1:N1"/>
    <mergeCell ref="A2:N2"/>
    <mergeCell ref="A5:C5"/>
    <mergeCell ref="E5:G5"/>
    <mergeCell ref="I5:K5"/>
    <mergeCell ref="M5:O5"/>
    <mergeCell ref="A17:N17"/>
    <mergeCell ref="A18:N18"/>
  </mergeCells>
  <conditionalFormatting sqref="L21:L99 L20:L76">
    <cfRule type="cellIs" priority="2" operator="greaterThanOrEqual" aboveAverage="0" equalAverage="0" bottom="0" percent="0" rank="0" text="" dxfId="4">
      <formula>16</formula>
    </cfRule>
    <cfRule type="cellIs" priority="3" operator="lessThan" aboveAverage="0" equalAverage="0" bottom="0" percent="0" rank="0" text="" dxfId="5">
      <formula>10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E90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E5" activeCellId="1" sqref="K3:M3 E5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1" min="1" style="23" width="18"/>
    <col collapsed="false" customWidth="true" hidden="false" outlineLevel="0" max="2" min="2" style="23" width="16"/>
    <col collapsed="false" customWidth="true" hidden="false" outlineLevel="0" max="3" min="3" style="23" width="22"/>
    <col collapsed="false" customWidth="true" hidden="false" outlineLevel="0" max="4" min="4" style="23" width="14"/>
    <col collapsed="false" customWidth="true" hidden="false" outlineLevel="0" max="5" min="5" style="23" width="16"/>
  </cols>
  <sheetData>
    <row r="1" customFormat="false" ht="24" hidden="false" customHeight="true" outlineLevel="0" collapsed="false">
      <c r="A1" s="95" t="s">
        <v>362</v>
      </c>
      <c r="B1" s="95"/>
      <c r="C1" s="95"/>
      <c r="D1" s="95"/>
      <c r="E1" s="95"/>
    </row>
    <row r="2" customFormat="false" ht="13.8" hidden="false" customHeight="false" outlineLevel="0" collapsed="false">
      <c r="A2" s="105" t="s">
        <v>363</v>
      </c>
      <c r="B2" s="105"/>
      <c r="C2" s="105"/>
      <c r="D2" s="105"/>
      <c r="E2" s="105"/>
    </row>
    <row r="4" customFormat="false" ht="24" hidden="false" customHeight="true" outlineLevel="0" collapsed="false">
      <c r="A4" s="119" t="s">
        <v>274</v>
      </c>
      <c r="B4" s="119" t="s">
        <v>364</v>
      </c>
      <c r="C4" s="119" t="s">
        <v>108</v>
      </c>
      <c r="D4" s="119" t="s">
        <v>365</v>
      </c>
      <c r="E4" s="119" t="s">
        <v>366</v>
      </c>
    </row>
    <row r="5" customFormat="false" ht="13.8" hidden="false" customHeight="false" outlineLevel="0" collapsed="false">
      <c r="A5" s="121" t="s">
        <v>277</v>
      </c>
      <c r="B5" s="121" t="s">
        <v>292</v>
      </c>
      <c r="C5" s="120" t="s">
        <v>25</v>
      </c>
      <c r="D5" s="129" t="n">
        <v>5</v>
      </c>
      <c r="E5" s="130" t="n">
        <f aca="false">IF(D5="","",IF(D5=10,3,IF(D5=5,1.5,IF(D5=0,0,""))))</f>
        <v>1.5</v>
      </c>
    </row>
    <row r="6" customFormat="false" ht="13.8" hidden="false" customHeight="false" outlineLevel="0" collapsed="false">
      <c r="A6" s="125" t="s">
        <v>277</v>
      </c>
      <c r="B6" s="125" t="s">
        <v>292</v>
      </c>
      <c r="C6" s="131" t="s">
        <v>118</v>
      </c>
      <c r="D6" s="132" t="n">
        <v>10</v>
      </c>
      <c r="E6" s="130" t="n">
        <f aca="false">IF(D6="","",IF(D6=10,3,IF(D6=5,1.5,IF(D6=0,0,""))))</f>
        <v>3</v>
      </c>
    </row>
    <row r="7" customFormat="false" ht="13.8" hidden="false" customHeight="false" outlineLevel="0" collapsed="false">
      <c r="A7" s="121" t="s">
        <v>277</v>
      </c>
      <c r="B7" s="121" t="s">
        <v>292</v>
      </c>
      <c r="C7" s="120" t="s">
        <v>40</v>
      </c>
      <c r="D7" s="129" t="n">
        <v>0</v>
      </c>
      <c r="E7" s="130" t="n">
        <f aca="false">IF(D7="","",IF(D7=10,3,IF(D7=5,1.5,IF(D7=0,0,""))))</f>
        <v>0</v>
      </c>
    </row>
    <row r="8" customFormat="false" ht="13.8" hidden="false" customHeight="false" outlineLevel="0" collapsed="false">
      <c r="A8" s="125" t="s">
        <v>277</v>
      </c>
      <c r="B8" s="125" t="s">
        <v>292</v>
      </c>
      <c r="C8" s="131" t="s">
        <v>120</v>
      </c>
      <c r="D8" s="132" t="n">
        <v>5</v>
      </c>
      <c r="E8" s="130" t="n">
        <f aca="false">IF(D8="","",IF(D8=10,3,IF(D8=5,1.5,IF(D8=0,0,""))))</f>
        <v>1.5</v>
      </c>
    </row>
    <row r="9" customFormat="false" ht="13.8" hidden="false" customHeight="false" outlineLevel="0" collapsed="false">
      <c r="A9" s="121" t="s">
        <v>277</v>
      </c>
      <c r="B9" s="121" t="s">
        <v>292</v>
      </c>
      <c r="C9" s="120" t="s">
        <v>24</v>
      </c>
      <c r="D9" s="129" t="n">
        <v>10</v>
      </c>
      <c r="E9" s="130" t="n">
        <f aca="false">IF(D9="","",IF(D9=10,3,IF(D9=5,1.5,IF(D9=0,0,""))))</f>
        <v>3</v>
      </c>
    </row>
    <row r="10" customFormat="false" ht="13.8" hidden="false" customHeight="false" outlineLevel="0" collapsed="false">
      <c r="A10" s="125" t="s">
        <v>277</v>
      </c>
      <c r="B10" s="125" t="s">
        <v>292</v>
      </c>
      <c r="C10" s="131" t="s">
        <v>27</v>
      </c>
      <c r="D10" s="132" t="n">
        <v>5</v>
      </c>
      <c r="E10" s="130" t="n">
        <f aca="false">IF(D10="","",IF(D10=10,3,IF(D10=5,1.5,IF(D10=0,0,""))))</f>
        <v>1.5</v>
      </c>
    </row>
    <row r="11" customFormat="false" ht="13.8" hidden="false" customHeight="false" outlineLevel="0" collapsed="false">
      <c r="A11" s="121" t="s">
        <v>277</v>
      </c>
      <c r="B11" s="121" t="s">
        <v>292</v>
      </c>
      <c r="C11" s="120" t="s">
        <v>126</v>
      </c>
      <c r="D11" s="129" t="n">
        <v>10</v>
      </c>
      <c r="E11" s="130" t="n">
        <f aca="false">IF(D11="","",IF(D11=10,3,IF(D11=5,1.5,IF(D11=0,0,""))))</f>
        <v>3</v>
      </c>
    </row>
    <row r="12" customFormat="false" ht="13.8" hidden="false" customHeight="false" outlineLevel="0" collapsed="false">
      <c r="A12" s="125" t="s">
        <v>277</v>
      </c>
      <c r="B12" s="125" t="s">
        <v>292</v>
      </c>
      <c r="C12" s="131" t="s">
        <v>179</v>
      </c>
      <c r="D12" s="132" t="n">
        <v>10</v>
      </c>
      <c r="E12" s="130" t="n">
        <f aca="false">IF(D12="","",IF(D12=10,3,IF(D12=5,1.5,IF(D12=0,0,""))))</f>
        <v>3</v>
      </c>
    </row>
    <row r="13" customFormat="false" ht="13.8" hidden="false" customHeight="false" outlineLevel="0" collapsed="false">
      <c r="A13" s="121" t="s">
        <v>277</v>
      </c>
      <c r="B13" s="121" t="s">
        <v>292</v>
      </c>
      <c r="C13" s="120" t="s">
        <v>33</v>
      </c>
      <c r="D13" s="129" t="n">
        <v>10</v>
      </c>
      <c r="E13" s="130" t="n">
        <f aca="false">IF(D13="","",IF(D13=10,3,IF(D13=5,1.5,IF(D13=0,0,""))))</f>
        <v>3</v>
      </c>
    </row>
    <row r="14" customFormat="false" ht="13.8" hidden="false" customHeight="false" outlineLevel="0" collapsed="false">
      <c r="A14" s="125" t="s">
        <v>277</v>
      </c>
      <c r="B14" s="125" t="s">
        <v>292</v>
      </c>
      <c r="C14" s="131" t="s">
        <v>119</v>
      </c>
      <c r="D14" s="132" t="n">
        <v>10</v>
      </c>
      <c r="E14" s="130" t="n">
        <f aca="false">IF(D14="","",IF(D14=10,3,IF(D14=5,1.5,IF(D14=0,0,""))))</f>
        <v>3</v>
      </c>
    </row>
    <row r="15" customFormat="false" ht="13.8" hidden="false" customHeight="false" outlineLevel="0" collapsed="false">
      <c r="A15" s="121" t="s">
        <v>277</v>
      </c>
      <c r="B15" s="121" t="s">
        <v>292</v>
      </c>
      <c r="C15" s="120" t="s">
        <v>28</v>
      </c>
      <c r="D15" s="129" t="n">
        <v>5</v>
      </c>
      <c r="E15" s="130" t="n">
        <f aca="false">IF(D15="","",IF(D15=10,3,IF(D15=5,1.5,IF(D15=0,0,""))))</f>
        <v>1.5</v>
      </c>
    </row>
    <row r="16" customFormat="false" ht="13.8" hidden="false" customHeight="false" outlineLevel="0" collapsed="false">
      <c r="A16" s="125" t="s">
        <v>277</v>
      </c>
      <c r="B16" s="125" t="s">
        <v>292</v>
      </c>
      <c r="C16" s="131" t="s">
        <v>127</v>
      </c>
      <c r="D16" s="132" t="n">
        <v>5</v>
      </c>
      <c r="E16" s="130" t="n">
        <f aca="false">IF(D16="","",IF(D16=10,3,IF(D16=5,1.5,IF(D16=0,0,""))))</f>
        <v>1.5</v>
      </c>
    </row>
    <row r="17" customFormat="false" ht="13.8" hidden="false" customHeight="false" outlineLevel="0" collapsed="false">
      <c r="A17" s="121" t="s">
        <v>277</v>
      </c>
      <c r="B17" s="121" t="s">
        <v>292</v>
      </c>
      <c r="C17" s="120" t="s">
        <v>115</v>
      </c>
      <c r="D17" s="129" t="n">
        <v>10</v>
      </c>
      <c r="E17" s="130" t="n">
        <f aca="false">IF(D17="","",IF(D17=10,3,IF(D17=5,1.5,IF(D17=0,0,""))))</f>
        <v>3</v>
      </c>
    </row>
    <row r="18" customFormat="false" ht="13.8" hidden="false" customHeight="false" outlineLevel="0" collapsed="false">
      <c r="A18" s="125" t="s">
        <v>280</v>
      </c>
      <c r="B18" s="125" t="s">
        <v>293</v>
      </c>
      <c r="C18" s="131" t="s">
        <v>213</v>
      </c>
      <c r="D18" s="132" t="n">
        <v>5</v>
      </c>
      <c r="E18" s="130" t="n">
        <f aca="false">IF(D18="","",IF(D18=10,3,IF(D18=5,1.5,IF(D18=0,0,""))))</f>
        <v>1.5</v>
      </c>
    </row>
    <row r="19" customFormat="false" ht="13.8" hidden="false" customHeight="false" outlineLevel="0" collapsed="false">
      <c r="A19" s="121" t="s">
        <v>280</v>
      </c>
      <c r="B19" s="121" t="s">
        <v>293</v>
      </c>
      <c r="C19" s="120" t="s">
        <v>25</v>
      </c>
      <c r="D19" s="129" t="n">
        <v>5</v>
      </c>
      <c r="E19" s="130" t="n">
        <f aca="false">IF(D19="","",IF(D19=10,3,IF(D19=5,1.5,IF(D19=0,0,""))))</f>
        <v>1.5</v>
      </c>
    </row>
    <row r="20" customFormat="false" ht="13.8" hidden="false" customHeight="false" outlineLevel="0" collapsed="false">
      <c r="A20" s="125" t="s">
        <v>280</v>
      </c>
      <c r="B20" s="125" t="s">
        <v>293</v>
      </c>
      <c r="C20" s="131" t="s">
        <v>118</v>
      </c>
      <c r="D20" s="132" t="n">
        <v>5</v>
      </c>
      <c r="E20" s="130" t="n">
        <f aca="false">IF(D20="","",IF(D20=10,3,IF(D20=5,1.5,IF(D20=0,0,""))))</f>
        <v>1.5</v>
      </c>
    </row>
    <row r="21" customFormat="false" ht="13.8" hidden="false" customHeight="false" outlineLevel="0" collapsed="false">
      <c r="A21" s="121" t="s">
        <v>280</v>
      </c>
      <c r="B21" s="121" t="s">
        <v>293</v>
      </c>
      <c r="C21" s="120" t="s">
        <v>40</v>
      </c>
      <c r="D21" s="129" t="n">
        <v>10</v>
      </c>
      <c r="E21" s="130" t="n">
        <f aca="false">IF(D21="","",IF(D21=10,3,IF(D21=5,1.5,IF(D21=0,0,""))))</f>
        <v>3</v>
      </c>
    </row>
    <row r="22" customFormat="false" ht="13.8" hidden="false" customHeight="false" outlineLevel="0" collapsed="false">
      <c r="A22" s="125" t="s">
        <v>280</v>
      </c>
      <c r="B22" s="125" t="s">
        <v>293</v>
      </c>
      <c r="C22" s="131" t="s">
        <v>214</v>
      </c>
      <c r="D22" s="132" t="n">
        <v>0</v>
      </c>
      <c r="E22" s="130" t="n">
        <f aca="false">IF(D22="","",IF(D22=10,3,IF(D22=5,1.5,IF(D22=0,0,""))))</f>
        <v>0</v>
      </c>
    </row>
    <row r="23" customFormat="false" ht="13.8" hidden="false" customHeight="false" outlineLevel="0" collapsed="false">
      <c r="A23" s="121" t="s">
        <v>280</v>
      </c>
      <c r="B23" s="121" t="s">
        <v>293</v>
      </c>
      <c r="C23" s="120" t="s">
        <v>120</v>
      </c>
      <c r="D23" s="129" t="n">
        <v>0</v>
      </c>
      <c r="E23" s="130" t="n">
        <f aca="false">IF(D23="","",IF(D23=10,3,IF(D23=5,1.5,IF(D23=0,0,""))))</f>
        <v>0</v>
      </c>
    </row>
    <row r="24" customFormat="false" ht="13.8" hidden="false" customHeight="false" outlineLevel="0" collapsed="false">
      <c r="A24" s="125" t="s">
        <v>280</v>
      </c>
      <c r="B24" s="125" t="s">
        <v>293</v>
      </c>
      <c r="C24" s="131" t="s">
        <v>24</v>
      </c>
      <c r="D24" s="132" t="n">
        <v>5</v>
      </c>
      <c r="E24" s="130" t="n">
        <f aca="false">IF(D24="","",IF(D24=10,3,IF(D24=5,1.5,IF(D24=0,0,""))))</f>
        <v>1.5</v>
      </c>
    </row>
    <row r="25" customFormat="false" ht="13.8" hidden="false" customHeight="false" outlineLevel="0" collapsed="false">
      <c r="A25" s="121" t="s">
        <v>280</v>
      </c>
      <c r="B25" s="121" t="s">
        <v>293</v>
      </c>
      <c r="C25" s="120" t="s">
        <v>27</v>
      </c>
      <c r="D25" s="129" t="n">
        <v>10</v>
      </c>
      <c r="E25" s="130" t="n">
        <f aca="false">IF(D25="","",IF(D25=10,3,IF(D25=5,1.5,IF(D25=0,0,""))))</f>
        <v>3</v>
      </c>
    </row>
    <row r="26" customFormat="false" ht="13.8" hidden="false" customHeight="false" outlineLevel="0" collapsed="false">
      <c r="A26" s="125" t="s">
        <v>280</v>
      </c>
      <c r="B26" s="125" t="s">
        <v>293</v>
      </c>
      <c r="C26" s="131" t="s">
        <v>126</v>
      </c>
      <c r="D26" s="132" t="n">
        <v>10</v>
      </c>
      <c r="E26" s="130" t="n">
        <f aca="false">IF(D26="","",IF(D26=10,3,IF(D26=5,1.5,IF(D26=0,0,""))))</f>
        <v>3</v>
      </c>
    </row>
    <row r="27" customFormat="false" ht="13.8" hidden="false" customHeight="false" outlineLevel="0" collapsed="false">
      <c r="A27" s="121" t="s">
        <v>280</v>
      </c>
      <c r="B27" s="121" t="s">
        <v>293</v>
      </c>
      <c r="C27" s="120" t="s">
        <v>33</v>
      </c>
      <c r="D27" s="129" t="n">
        <v>5</v>
      </c>
      <c r="E27" s="130" t="n">
        <f aca="false">IF(D27="","",IF(D27=10,3,IF(D27=5,1.5,IF(D27=0,0,""))))</f>
        <v>1.5</v>
      </c>
    </row>
    <row r="28" customFormat="false" ht="13.8" hidden="false" customHeight="false" outlineLevel="0" collapsed="false">
      <c r="A28" s="125" t="s">
        <v>280</v>
      </c>
      <c r="B28" s="125" t="s">
        <v>293</v>
      </c>
      <c r="C28" s="131" t="s">
        <v>119</v>
      </c>
      <c r="D28" s="132" t="n">
        <v>5</v>
      </c>
      <c r="E28" s="130" t="n">
        <f aca="false">IF(D28="","",IF(D28=10,3,IF(D28=5,1.5,IF(D28=0,0,""))))</f>
        <v>1.5</v>
      </c>
    </row>
    <row r="29" customFormat="false" ht="13.8" hidden="false" customHeight="false" outlineLevel="0" collapsed="false">
      <c r="A29" s="121" t="s">
        <v>280</v>
      </c>
      <c r="B29" s="121" t="s">
        <v>293</v>
      </c>
      <c r="C29" s="120" t="s">
        <v>28</v>
      </c>
      <c r="D29" s="129" t="n">
        <v>5</v>
      </c>
      <c r="E29" s="130" t="n">
        <f aca="false">IF(D29="","",IF(D29=10,3,IF(D29=5,1.5,IF(D29=0,0,""))))</f>
        <v>1.5</v>
      </c>
    </row>
    <row r="30" customFormat="false" ht="13.8" hidden="false" customHeight="false" outlineLevel="0" collapsed="false">
      <c r="A30" s="125" t="s">
        <v>280</v>
      </c>
      <c r="B30" s="125" t="s">
        <v>293</v>
      </c>
      <c r="C30" s="131" t="s">
        <v>127</v>
      </c>
      <c r="D30" s="132" t="n">
        <v>5</v>
      </c>
      <c r="E30" s="130" t="n">
        <f aca="false">IF(D30="","",IF(D30=10,3,IF(D30=5,1.5,IF(D30=0,0,""))))</f>
        <v>1.5</v>
      </c>
    </row>
    <row r="31" customFormat="false" ht="13.8" hidden="false" customHeight="false" outlineLevel="0" collapsed="false">
      <c r="A31" s="121" t="s">
        <v>280</v>
      </c>
      <c r="B31" s="121" t="s">
        <v>293</v>
      </c>
      <c r="C31" s="120" t="s">
        <v>115</v>
      </c>
      <c r="D31" s="129" t="n">
        <v>0</v>
      </c>
      <c r="E31" s="130" t="n">
        <f aca="false">IF(D31="","",IF(D31=10,3,IF(D31=5,1.5,IF(D31=0,0,""))))</f>
        <v>0</v>
      </c>
    </row>
    <row r="32" customFormat="false" ht="13.8" hidden="false" customHeight="false" outlineLevel="0" collapsed="false">
      <c r="A32" s="125" t="s">
        <v>283</v>
      </c>
      <c r="B32" s="125" t="s">
        <v>294</v>
      </c>
      <c r="C32" s="131" t="s">
        <v>125</v>
      </c>
      <c r="D32" s="132" t="n">
        <v>0</v>
      </c>
      <c r="E32" s="130" t="n">
        <f aca="false">IF(D32="","",IF(D32=10,3,IF(D32=5,1.5,IF(D32=0,0,""))))</f>
        <v>0</v>
      </c>
    </row>
    <row r="33" customFormat="false" ht="13.8" hidden="false" customHeight="false" outlineLevel="0" collapsed="false">
      <c r="A33" s="121" t="s">
        <v>283</v>
      </c>
      <c r="B33" s="121" t="s">
        <v>294</v>
      </c>
      <c r="C33" s="120" t="s">
        <v>35</v>
      </c>
      <c r="D33" s="129" t="n">
        <v>0</v>
      </c>
      <c r="E33" s="130" t="n">
        <f aca="false">IF(D33="","",IF(D33=10,3,IF(D33=5,1.5,IF(D33=0,0,""))))</f>
        <v>0</v>
      </c>
    </row>
    <row r="34" customFormat="false" ht="13.8" hidden="false" customHeight="false" outlineLevel="0" collapsed="false">
      <c r="A34" s="125" t="s">
        <v>283</v>
      </c>
      <c r="B34" s="125" t="s">
        <v>294</v>
      </c>
      <c r="C34" s="131" t="s">
        <v>122</v>
      </c>
      <c r="D34" s="132" t="n">
        <v>5</v>
      </c>
      <c r="E34" s="130" t="n">
        <f aca="false">IF(D34="","",IF(D34=10,3,IF(D34=5,1.5,IF(D34=0,0,""))))</f>
        <v>1.5</v>
      </c>
    </row>
    <row r="35" customFormat="false" ht="13.8" hidden="false" customHeight="false" outlineLevel="0" collapsed="false">
      <c r="A35" s="121" t="s">
        <v>283</v>
      </c>
      <c r="B35" s="121" t="s">
        <v>294</v>
      </c>
      <c r="C35" s="120" t="s">
        <v>25</v>
      </c>
      <c r="D35" s="129" t="n">
        <v>5</v>
      </c>
      <c r="E35" s="130" t="n">
        <f aca="false">IF(D35="","",IF(D35=10,3,IF(D35=5,1.5,IF(D35=0,0,""))))</f>
        <v>1.5</v>
      </c>
    </row>
    <row r="36" customFormat="false" ht="13.8" hidden="false" customHeight="false" outlineLevel="0" collapsed="false">
      <c r="A36" s="125" t="s">
        <v>283</v>
      </c>
      <c r="B36" s="125" t="s">
        <v>294</v>
      </c>
      <c r="C36" s="131" t="s">
        <v>40</v>
      </c>
      <c r="D36" s="132" t="n">
        <v>5</v>
      </c>
      <c r="E36" s="130" t="n">
        <f aca="false">IF(D36="","",IF(D36=10,3,IF(D36=5,1.5,IF(D36=0,0,""))))</f>
        <v>1.5</v>
      </c>
    </row>
    <row r="37" customFormat="false" ht="13.8" hidden="false" customHeight="false" outlineLevel="0" collapsed="false">
      <c r="A37" s="121" t="s">
        <v>283</v>
      </c>
      <c r="B37" s="121" t="s">
        <v>294</v>
      </c>
      <c r="C37" s="120" t="s">
        <v>201</v>
      </c>
      <c r="D37" s="129" t="n">
        <v>10</v>
      </c>
      <c r="E37" s="130" t="n">
        <f aca="false">IF(D37="","",IF(D37=10,3,IF(D37=5,1.5,IF(D37=0,0,""))))</f>
        <v>3</v>
      </c>
    </row>
    <row r="38" customFormat="false" ht="13.8" hidden="false" customHeight="false" outlineLevel="0" collapsed="false">
      <c r="A38" s="125" t="s">
        <v>283</v>
      </c>
      <c r="B38" s="125" t="s">
        <v>294</v>
      </c>
      <c r="C38" s="131" t="s">
        <v>24</v>
      </c>
      <c r="D38" s="132" t="n">
        <v>10</v>
      </c>
      <c r="E38" s="130" t="n">
        <f aca="false">IF(D38="","",IF(D38=10,3,IF(D38=5,1.5,IF(D38=0,0,""))))</f>
        <v>3</v>
      </c>
    </row>
    <row r="39" customFormat="false" ht="13.8" hidden="false" customHeight="false" outlineLevel="0" collapsed="false">
      <c r="A39" s="121" t="s">
        <v>283</v>
      </c>
      <c r="B39" s="121" t="s">
        <v>294</v>
      </c>
      <c r="C39" s="120" t="s">
        <v>179</v>
      </c>
      <c r="D39" s="129" t="n">
        <v>0</v>
      </c>
      <c r="E39" s="130" t="n">
        <f aca="false">IF(D39="","",IF(D39=10,3,IF(D39=5,1.5,IF(D39=0,0,""))))</f>
        <v>0</v>
      </c>
    </row>
    <row r="40" customFormat="false" ht="13.8" hidden="false" customHeight="false" outlineLevel="0" collapsed="false">
      <c r="A40" s="125" t="s">
        <v>283</v>
      </c>
      <c r="B40" s="125" t="s">
        <v>294</v>
      </c>
      <c r="C40" s="131" t="s">
        <v>33</v>
      </c>
      <c r="D40" s="132" t="n">
        <v>5</v>
      </c>
      <c r="E40" s="130" t="n">
        <f aca="false">IF(D40="","",IF(D40=10,3,IF(D40=5,1.5,IF(D40=0,0,""))))</f>
        <v>1.5</v>
      </c>
    </row>
    <row r="41" customFormat="false" ht="13.8" hidden="false" customHeight="false" outlineLevel="0" collapsed="false">
      <c r="A41" s="121" t="s">
        <v>283</v>
      </c>
      <c r="B41" s="121" t="s">
        <v>294</v>
      </c>
      <c r="C41" s="120" t="s">
        <v>123</v>
      </c>
      <c r="D41" s="129" t="n">
        <v>5</v>
      </c>
      <c r="E41" s="130" t="n">
        <f aca="false">IF(D41="","",IF(D41=10,3,IF(D41=5,1.5,IF(D41=0,0,""))))</f>
        <v>1.5</v>
      </c>
    </row>
    <row r="42" customFormat="false" ht="13.8" hidden="false" customHeight="false" outlineLevel="0" collapsed="false">
      <c r="A42" s="125" t="s">
        <v>283</v>
      </c>
      <c r="B42" s="125" t="s">
        <v>294</v>
      </c>
      <c r="C42" s="131" t="s">
        <v>124</v>
      </c>
      <c r="D42" s="132" t="n">
        <v>0</v>
      </c>
      <c r="E42" s="130" t="n">
        <f aca="false">IF(D42="","",IF(D42=10,3,IF(D42=5,1.5,IF(D42=0,0,""))))</f>
        <v>0</v>
      </c>
    </row>
    <row r="43" customFormat="false" ht="13.8" hidden="false" customHeight="false" outlineLevel="0" collapsed="false">
      <c r="A43" s="121" t="s">
        <v>283</v>
      </c>
      <c r="B43" s="121" t="s">
        <v>294</v>
      </c>
      <c r="C43" s="120" t="s">
        <v>34</v>
      </c>
      <c r="D43" s="129" t="n">
        <v>5</v>
      </c>
      <c r="E43" s="130" t="n">
        <f aca="false">IF(D43="","",IF(D43=10,3,IF(D43=5,1.5,IF(D43=0,0,""))))</f>
        <v>1.5</v>
      </c>
    </row>
    <row r="44" customFormat="false" ht="13.8" hidden="false" customHeight="false" outlineLevel="0" collapsed="false">
      <c r="A44" s="125" t="s">
        <v>283</v>
      </c>
      <c r="B44" s="125" t="s">
        <v>294</v>
      </c>
      <c r="C44" s="131" t="s">
        <v>121</v>
      </c>
      <c r="D44" s="132" t="n">
        <v>0</v>
      </c>
      <c r="E44" s="130" t="n">
        <f aca="false">IF(D44="","",IF(D44=10,3,IF(D44=5,1.5,IF(D44=0,0,""))))</f>
        <v>0</v>
      </c>
    </row>
    <row r="45" customFormat="false" ht="13.8" hidden="false" customHeight="false" outlineLevel="0" collapsed="false">
      <c r="A45" s="121" t="s">
        <v>283</v>
      </c>
      <c r="B45" s="121" t="s">
        <v>294</v>
      </c>
      <c r="C45" s="120" t="s">
        <v>28</v>
      </c>
      <c r="D45" s="129" t="n">
        <v>0</v>
      </c>
      <c r="E45" s="130" t="n">
        <f aca="false">IF(D45="","",IF(D45=10,3,IF(D45=5,1.5,IF(D45=0,0,""))))</f>
        <v>0</v>
      </c>
    </row>
    <row r="46" customFormat="false" ht="13.8" hidden="false" customHeight="false" outlineLevel="0" collapsed="false">
      <c r="A46" s="125" t="s">
        <v>283</v>
      </c>
      <c r="B46" s="125" t="s">
        <v>294</v>
      </c>
      <c r="C46" s="131" t="s">
        <v>115</v>
      </c>
      <c r="D46" s="132" t="n">
        <v>10</v>
      </c>
      <c r="E46" s="130" t="n">
        <f aca="false">IF(D46="","",IF(D46=10,3,IF(D46=5,1.5,IF(D46=0,0,""))))</f>
        <v>3</v>
      </c>
    </row>
    <row r="47" customFormat="false" ht="13.8" hidden="false" customHeight="false" outlineLevel="0" collapsed="false">
      <c r="A47" s="121" t="s">
        <v>285</v>
      </c>
      <c r="B47" s="121" t="s">
        <v>295</v>
      </c>
      <c r="C47" s="120" t="s">
        <v>125</v>
      </c>
      <c r="D47" s="129" t="n">
        <v>0</v>
      </c>
      <c r="E47" s="130" t="n">
        <f aca="false">IF(D47="","",IF(D47=10,3,IF(D47=5,1.5,IF(D47=0,0,""))))</f>
        <v>0</v>
      </c>
    </row>
    <row r="48" customFormat="false" ht="13.8" hidden="false" customHeight="false" outlineLevel="0" collapsed="false">
      <c r="A48" s="125" t="s">
        <v>285</v>
      </c>
      <c r="B48" s="125" t="s">
        <v>295</v>
      </c>
      <c r="C48" s="131" t="s">
        <v>35</v>
      </c>
      <c r="D48" s="132" t="n">
        <v>0</v>
      </c>
      <c r="E48" s="130" t="n">
        <f aca="false">IF(D48="","",IF(D48=10,3,IF(D48=5,1.5,IF(D48=0,0,""))))</f>
        <v>0</v>
      </c>
    </row>
    <row r="49" customFormat="false" ht="13.8" hidden="false" customHeight="false" outlineLevel="0" collapsed="false">
      <c r="A49" s="121" t="s">
        <v>285</v>
      </c>
      <c r="B49" s="121" t="s">
        <v>295</v>
      </c>
      <c r="C49" s="120" t="s">
        <v>122</v>
      </c>
      <c r="D49" s="129" t="n">
        <v>0</v>
      </c>
      <c r="E49" s="130" t="n">
        <f aca="false">IF(D49="","",IF(D49=10,3,IF(D49=5,1.5,IF(D49=0,0,""))))</f>
        <v>0</v>
      </c>
    </row>
    <row r="50" customFormat="false" ht="13.8" hidden="false" customHeight="false" outlineLevel="0" collapsed="false">
      <c r="A50" s="125" t="s">
        <v>285</v>
      </c>
      <c r="B50" s="125" t="s">
        <v>295</v>
      </c>
      <c r="C50" s="131" t="s">
        <v>25</v>
      </c>
      <c r="D50" s="132" t="n">
        <v>10</v>
      </c>
      <c r="E50" s="130" t="n">
        <f aca="false">IF(D50="","",IF(D50=10,3,IF(D50=5,1.5,IF(D50=0,0,""))))</f>
        <v>3</v>
      </c>
    </row>
    <row r="51" customFormat="false" ht="13.8" hidden="false" customHeight="false" outlineLevel="0" collapsed="false">
      <c r="A51" s="121" t="s">
        <v>285</v>
      </c>
      <c r="B51" s="121" t="s">
        <v>295</v>
      </c>
      <c r="C51" s="120" t="s">
        <v>40</v>
      </c>
      <c r="D51" s="129" t="n">
        <v>0</v>
      </c>
      <c r="E51" s="130" t="n">
        <f aca="false">IF(D51="","",IF(D51=10,3,IF(D51=5,1.5,IF(D51=0,0,""))))</f>
        <v>0</v>
      </c>
    </row>
    <row r="52" customFormat="false" ht="13.8" hidden="false" customHeight="false" outlineLevel="0" collapsed="false">
      <c r="A52" s="125" t="s">
        <v>285</v>
      </c>
      <c r="B52" s="125" t="s">
        <v>295</v>
      </c>
      <c r="C52" s="131" t="s">
        <v>201</v>
      </c>
      <c r="D52" s="132" t="n">
        <v>0</v>
      </c>
      <c r="E52" s="130" t="n">
        <f aca="false">IF(D52="","",IF(D52=10,3,IF(D52=5,1.5,IF(D52=0,0,""))))</f>
        <v>0</v>
      </c>
    </row>
    <row r="53" customFormat="false" ht="13.8" hidden="false" customHeight="false" outlineLevel="0" collapsed="false">
      <c r="A53" s="121" t="s">
        <v>285</v>
      </c>
      <c r="B53" s="121" t="s">
        <v>295</v>
      </c>
      <c r="C53" s="120" t="s">
        <v>24</v>
      </c>
      <c r="D53" s="129" t="n">
        <v>10</v>
      </c>
      <c r="E53" s="130" t="n">
        <f aca="false">IF(D53="","",IF(D53=10,3,IF(D53=5,1.5,IF(D53=0,0,""))))</f>
        <v>3</v>
      </c>
    </row>
    <row r="54" customFormat="false" ht="13.8" hidden="false" customHeight="false" outlineLevel="0" collapsed="false">
      <c r="A54" s="125" t="s">
        <v>285</v>
      </c>
      <c r="B54" s="125" t="s">
        <v>295</v>
      </c>
      <c r="C54" s="131" t="s">
        <v>179</v>
      </c>
      <c r="D54" s="132" t="n">
        <v>5</v>
      </c>
      <c r="E54" s="130" t="n">
        <f aca="false">IF(D54="","",IF(D54=10,3,IF(D54=5,1.5,IF(D54=0,0,""))))</f>
        <v>1.5</v>
      </c>
    </row>
    <row r="55" customFormat="false" ht="13.8" hidden="false" customHeight="false" outlineLevel="0" collapsed="false">
      <c r="A55" s="121" t="s">
        <v>285</v>
      </c>
      <c r="B55" s="121" t="s">
        <v>295</v>
      </c>
      <c r="C55" s="120" t="s">
        <v>33</v>
      </c>
      <c r="D55" s="129" t="n">
        <v>10</v>
      </c>
      <c r="E55" s="130" t="n">
        <f aca="false">IF(D55="","",IF(D55=10,3,IF(D55=5,1.5,IF(D55=0,0,""))))</f>
        <v>3</v>
      </c>
    </row>
    <row r="56" customFormat="false" ht="13.8" hidden="false" customHeight="false" outlineLevel="0" collapsed="false">
      <c r="A56" s="125" t="s">
        <v>285</v>
      </c>
      <c r="B56" s="125" t="s">
        <v>295</v>
      </c>
      <c r="C56" s="131" t="s">
        <v>123</v>
      </c>
      <c r="D56" s="132" t="n">
        <v>0</v>
      </c>
      <c r="E56" s="130" t="n">
        <f aca="false">IF(D56="","",IF(D56=10,3,IF(D56=5,1.5,IF(D56=0,0,""))))</f>
        <v>0</v>
      </c>
    </row>
    <row r="57" customFormat="false" ht="13.8" hidden="false" customHeight="false" outlineLevel="0" collapsed="false">
      <c r="A57" s="121" t="s">
        <v>285</v>
      </c>
      <c r="B57" s="121" t="s">
        <v>295</v>
      </c>
      <c r="C57" s="120" t="s">
        <v>124</v>
      </c>
      <c r="D57" s="129" t="n">
        <v>0</v>
      </c>
      <c r="E57" s="130" t="n">
        <f aca="false">IF(D57="","",IF(D57=10,3,IF(D57=5,1.5,IF(D57=0,0,""))))</f>
        <v>0</v>
      </c>
    </row>
    <row r="58" customFormat="false" ht="13.8" hidden="false" customHeight="false" outlineLevel="0" collapsed="false">
      <c r="A58" s="125" t="s">
        <v>285</v>
      </c>
      <c r="B58" s="125" t="s">
        <v>295</v>
      </c>
      <c r="C58" s="131" t="s">
        <v>34</v>
      </c>
      <c r="D58" s="132" t="n">
        <v>5</v>
      </c>
      <c r="E58" s="130" t="n">
        <f aca="false">IF(D58="","",IF(D58=10,3,IF(D58=5,1.5,IF(D58=0,0,""))))</f>
        <v>1.5</v>
      </c>
    </row>
    <row r="59" customFormat="false" ht="13.8" hidden="false" customHeight="false" outlineLevel="0" collapsed="false">
      <c r="A59" s="121" t="s">
        <v>285</v>
      </c>
      <c r="B59" s="121" t="s">
        <v>295</v>
      </c>
      <c r="C59" s="120" t="s">
        <v>234</v>
      </c>
      <c r="D59" s="129" t="n">
        <v>0</v>
      </c>
      <c r="E59" s="130" t="n">
        <f aca="false">IF(D59="","",IF(D59=10,3,IF(D59=5,1.5,IF(D59=0,0,""))))</f>
        <v>0</v>
      </c>
    </row>
    <row r="60" customFormat="false" ht="13.8" hidden="false" customHeight="false" outlineLevel="0" collapsed="false">
      <c r="A60" s="125" t="s">
        <v>285</v>
      </c>
      <c r="B60" s="125" t="s">
        <v>295</v>
      </c>
      <c r="C60" s="131" t="s">
        <v>121</v>
      </c>
      <c r="D60" s="132" t="n">
        <v>0</v>
      </c>
      <c r="E60" s="130" t="n">
        <f aca="false">IF(D60="","",IF(D60=10,3,IF(D60=5,1.5,IF(D60=0,0,""))))</f>
        <v>0</v>
      </c>
    </row>
    <row r="61" customFormat="false" ht="13.8" hidden="false" customHeight="false" outlineLevel="0" collapsed="false">
      <c r="A61" s="121" t="s">
        <v>285</v>
      </c>
      <c r="B61" s="121" t="s">
        <v>295</v>
      </c>
      <c r="C61" s="120" t="s">
        <v>28</v>
      </c>
      <c r="D61" s="129" t="n">
        <v>10</v>
      </c>
      <c r="E61" s="130" t="n">
        <f aca="false">IF(D61="","",IF(D61=10,3,IF(D61=5,1.5,IF(D61=0,0,""))))</f>
        <v>3</v>
      </c>
    </row>
    <row r="62" customFormat="false" ht="13.8" hidden="false" customHeight="false" outlineLevel="0" collapsed="false">
      <c r="A62" s="125" t="s">
        <v>285</v>
      </c>
      <c r="B62" s="125" t="s">
        <v>295</v>
      </c>
      <c r="C62" s="131" t="s">
        <v>115</v>
      </c>
      <c r="D62" s="132" t="n">
        <v>10</v>
      </c>
      <c r="E62" s="130" t="n">
        <f aca="false">IF(D62="","",IF(D62=10,3,IF(D62=5,1.5,IF(D62=0,0,""))))</f>
        <v>3</v>
      </c>
    </row>
    <row r="63" customFormat="false" ht="13.8" hidden="false" customHeight="false" outlineLevel="0" collapsed="false">
      <c r="A63" s="133"/>
      <c r="B63" s="133"/>
      <c r="C63" s="134"/>
      <c r="D63" s="133"/>
      <c r="E63" s="130" t="str">
        <f aca="false">IF(D63="","",IF(D63=10,3,IF(D63=5,1.5,IF(D63=0,0,""))))</f>
        <v/>
      </c>
    </row>
    <row r="64" customFormat="false" ht="13.8" hidden="false" customHeight="false" outlineLevel="0" collapsed="false">
      <c r="A64" s="133"/>
      <c r="B64" s="133"/>
      <c r="C64" s="134"/>
      <c r="D64" s="133"/>
      <c r="E64" s="130" t="str">
        <f aca="false">IF(D64="","",IF(D64=10,3,IF(D64=5,1.5,IF(D64=0,0,""))))</f>
        <v/>
      </c>
    </row>
    <row r="65" customFormat="false" ht="13.8" hidden="false" customHeight="false" outlineLevel="0" collapsed="false">
      <c r="A65" s="133"/>
      <c r="B65" s="133"/>
      <c r="C65" s="134"/>
      <c r="D65" s="133"/>
      <c r="E65" s="130" t="str">
        <f aca="false">IF(D65="","",IF(D65=10,[1]CALCUL_NOTE!$E$3,IF(D65=5,[1]CALCUL_NOTE!$H$3,IF(D65=0,[1]CALCUL_NOTE!$K$3,""))))</f>
        <v/>
      </c>
    </row>
    <row r="66" customFormat="false" ht="13.8" hidden="false" customHeight="false" outlineLevel="0" collapsed="false">
      <c r="A66" s="133"/>
      <c r="B66" s="133"/>
      <c r="C66" s="134"/>
      <c r="D66" s="133"/>
      <c r="E66" s="130" t="str">
        <f aca="false">IF(D66="","",IF(D66=10,[1]CALCUL_NOTE!$E$3,IF(D66=5,[1]CALCUL_NOTE!$H$3,IF(D66=0,[1]CALCUL_NOTE!$K$3,""))))</f>
        <v/>
      </c>
    </row>
    <row r="67" customFormat="false" ht="13.8" hidden="false" customHeight="false" outlineLevel="0" collapsed="false">
      <c r="A67" s="133"/>
      <c r="B67" s="133"/>
      <c r="C67" s="134"/>
      <c r="D67" s="133"/>
      <c r="E67" s="130" t="str">
        <f aca="false">IF(D67="","",IF(D67=10,[1]CALCUL_NOTE!$E$3,IF(D67=5,[1]CALCUL_NOTE!$H$3,IF(D67=0,[1]CALCUL_NOTE!$K$3,""))))</f>
        <v/>
      </c>
    </row>
    <row r="68" customFormat="false" ht="13.8" hidden="false" customHeight="false" outlineLevel="0" collapsed="false">
      <c r="A68" s="133"/>
      <c r="B68" s="133"/>
      <c r="C68" s="134"/>
      <c r="D68" s="133"/>
      <c r="E68" s="130" t="str">
        <f aca="false">IF(D68="","",IF(D68=10,[1]CALCUL_NOTE!$E$3,IF(D68=5,[1]CALCUL_NOTE!$H$3,IF(D68=0,[1]CALCUL_NOTE!$K$3,""))))</f>
        <v/>
      </c>
    </row>
    <row r="69" customFormat="false" ht="13.8" hidden="false" customHeight="false" outlineLevel="0" collapsed="false">
      <c r="A69" s="133"/>
      <c r="B69" s="133"/>
      <c r="C69" s="134"/>
      <c r="D69" s="133"/>
      <c r="E69" s="130" t="str">
        <f aca="false">IF(D69="","",IF(D69=10,[1]CALCUL_NOTE!$E$3,IF(D69=5,[1]CALCUL_NOTE!$H$3,IF(D69=0,[1]CALCUL_NOTE!$K$3,""))))</f>
        <v/>
      </c>
    </row>
    <row r="70" customFormat="false" ht="13.8" hidden="false" customHeight="false" outlineLevel="0" collapsed="false">
      <c r="A70" s="133"/>
      <c r="B70" s="133"/>
      <c r="C70" s="134"/>
      <c r="D70" s="133"/>
      <c r="E70" s="130" t="str">
        <f aca="false">IF(D70="","",IF(D70=10,[1]CALCUL_NOTE!$E$3,IF(D70=5,[1]CALCUL_NOTE!$H$3,IF(D70=0,[1]CALCUL_NOTE!$K$3,""))))</f>
        <v/>
      </c>
    </row>
    <row r="71" customFormat="false" ht="13.8" hidden="false" customHeight="false" outlineLevel="0" collapsed="false">
      <c r="A71" s="133"/>
      <c r="B71" s="133"/>
      <c r="C71" s="134"/>
      <c r="D71" s="133"/>
      <c r="E71" s="130" t="str">
        <f aca="false">IF(D71="","",IF(D71=10,[1]CALCUL_NOTE!$E$3,IF(D71=5,[1]CALCUL_NOTE!$H$3,IF(D71=0,[1]CALCUL_NOTE!$K$3,""))))</f>
        <v/>
      </c>
    </row>
    <row r="72" customFormat="false" ht="13.8" hidden="false" customHeight="false" outlineLevel="0" collapsed="false">
      <c r="A72" s="133"/>
      <c r="B72" s="133"/>
      <c r="C72" s="134"/>
      <c r="D72" s="133"/>
      <c r="E72" s="130" t="str">
        <f aca="false">IF(D72="","",IF(D72=10,[1]CALCUL_NOTE!$E$3,IF(D72=5,[1]CALCUL_NOTE!$H$3,IF(D72=0,[1]CALCUL_NOTE!$K$3,""))))</f>
        <v/>
      </c>
    </row>
    <row r="73" customFormat="false" ht="13.8" hidden="false" customHeight="false" outlineLevel="0" collapsed="false">
      <c r="A73" s="133"/>
      <c r="B73" s="133"/>
      <c r="C73" s="134"/>
      <c r="D73" s="133"/>
      <c r="E73" s="130" t="str">
        <f aca="false">IF(D73="","",IF(D73=10,[1]CALCUL_NOTE!$E$3,IF(D73=5,[1]CALCUL_NOTE!$H$3,IF(D73=0,[1]CALCUL_NOTE!$K$3,""))))</f>
        <v/>
      </c>
    </row>
    <row r="74" customFormat="false" ht="13.8" hidden="false" customHeight="false" outlineLevel="0" collapsed="false">
      <c r="A74" s="133"/>
      <c r="B74" s="133"/>
      <c r="C74" s="134"/>
      <c r="D74" s="133"/>
      <c r="E74" s="130" t="str">
        <f aca="false">IF(D74="","",IF(D74=10,[1]CALCUL_NOTE!$E$3,IF(D74=5,[1]CALCUL_NOTE!$H$3,IF(D74=0,[1]CALCUL_NOTE!$K$3,""))))</f>
        <v/>
      </c>
    </row>
    <row r="75" customFormat="false" ht="13.8" hidden="false" customHeight="false" outlineLevel="0" collapsed="false">
      <c r="A75" s="133"/>
      <c r="B75" s="133"/>
      <c r="C75" s="134"/>
      <c r="D75" s="133"/>
      <c r="E75" s="130" t="str">
        <f aca="false">IF(D75="","",IF(D75=10,[1]CALCUL_NOTE!$E$3,IF(D75=5,[1]CALCUL_NOTE!$H$3,IF(D75=0,[1]CALCUL_NOTE!$K$3,""))))</f>
        <v/>
      </c>
    </row>
    <row r="76" customFormat="false" ht="13.8" hidden="false" customHeight="false" outlineLevel="0" collapsed="false">
      <c r="A76" s="133"/>
      <c r="B76" s="133"/>
      <c r="C76" s="134"/>
      <c r="D76" s="133"/>
      <c r="E76" s="130" t="str">
        <f aca="false">IF(D76="","",IF(D76=10,[1]CALCUL_NOTE!$E$3,IF(D76=5,[1]CALCUL_NOTE!$H$3,IF(D76=0,[1]CALCUL_NOTE!$K$3,""))))</f>
        <v/>
      </c>
    </row>
    <row r="77" customFormat="false" ht="13.8" hidden="false" customHeight="false" outlineLevel="0" collapsed="false">
      <c r="A77" s="133"/>
      <c r="B77" s="133"/>
      <c r="C77" s="134"/>
      <c r="D77" s="133"/>
      <c r="E77" s="130" t="str">
        <f aca="false">IF(D77="","",IF(D77=10,[1]CALCUL_NOTE!$E$3,IF(D77=5,[1]CALCUL_NOTE!$H$3,IF(D77=0,[1]CALCUL_NOTE!$K$3,""))))</f>
        <v/>
      </c>
    </row>
    <row r="78" customFormat="false" ht="13.8" hidden="false" customHeight="false" outlineLevel="0" collapsed="false">
      <c r="A78" s="133"/>
      <c r="B78" s="133"/>
      <c r="C78" s="134"/>
      <c r="D78" s="133"/>
      <c r="E78" s="130" t="str">
        <f aca="false">IF(D78="","",IF(D78=10,[1]CALCUL_NOTE!$E$3,IF(D78=5,[1]CALCUL_NOTE!$H$3,IF(D78=0,[1]CALCUL_NOTE!$K$3,""))))</f>
        <v/>
      </c>
    </row>
    <row r="79" customFormat="false" ht="13.8" hidden="false" customHeight="false" outlineLevel="0" collapsed="false">
      <c r="A79" s="133"/>
      <c r="B79" s="133"/>
      <c r="C79" s="134"/>
      <c r="D79" s="133"/>
      <c r="E79" s="130" t="str">
        <f aca="false">IF(D79="","",IF(D79=10,[1]CALCUL_NOTE!$E$3,IF(D79=5,[1]CALCUL_NOTE!$H$3,IF(D79=0,[1]CALCUL_NOTE!$K$3,""))))</f>
        <v/>
      </c>
    </row>
    <row r="80" customFormat="false" ht="13.8" hidden="false" customHeight="false" outlineLevel="0" collapsed="false">
      <c r="A80" s="133"/>
      <c r="B80" s="133"/>
      <c r="C80" s="134"/>
      <c r="D80" s="133"/>
      <c r="E80" s="130" t="str">
        <f aca="false">IF(D80="","",IF(D80=10,[1]CALCUL_NOTE!$E$3,IF(D80=5,[1]CALCUL_NOTE!$H$3,IF(D80=0,[1]CALCUL_NOTE!$K$3,""))))</f>
        <v/>
      </c>
    </row>
    <row r="81" customFormat="false" ht="13.8" hidden="false" customHeight="false" outlineLevel="0" collapsed="false">
      <c r="A81" s="133"/>
      <c r="B81" s="133"/>
      <c r="C81" s="134"/>
      <c r="D81" s="133"/>
      <c r="E81" s="130" t="str">
        <f aca="false">IF(D81="","",IF(D81=10,[1]CALCUL_NOTE!$E$3,IF(D81=5,[1]CALCUL_NOTE!$H$3,IF(D81=0,[1]CALCUL_NOTE!$K$3,""))))</f>
        <v/>
      </c>
    </row>
    <row r="82" customFormat="false" ht="13.8" hidden="false" customHeight="false" outlineLevel="0" collapsed="false">
      <c r="A82" s="133"/>
      <c r="B82" s="133"/>
      <c r="C82" s="134"/>
      <c r="D82" s="133"/>
      <c r="E82" s="130" t="str">
        <f aca="false">IF(D82="","",IF(D82=10,[1]CALCUL_NOTE!$E$3,IF(D82=5,[1]CALCUL_NOTE!$H$3,IF(D82=0,[1]CALCUL_NOTE!$K$3,""))))</f>
        <v/>
      </c>
    </row>
    <row r="85" customFormat="false" ht="13.8" hidden="false" customHeight="false" outlineLevel="0" collapsed="false">
      <c r="A85" s="135" t="s">
        <v>367</v>
      </c>
      <c r="B85" s="135"/>
      <c r="C85" s="135"/>
      <c r="D85" s="135"/>
      <c r="E85" s="135"/>
    </row>
    <row r="86" customFormat="false" ht="13.8" hidden="false" customHeight="false" outlineLevel="0" collapsed="false">
      <c r="A86" s="136" t="s">
        <v>368</v>
      </c>
      <c r="B86" s="136"/>
      <c r="C86" s="136"/>
      <c r="D86" s="136"/>
      <c r="E86" s="136"/>
    </row>
    <row r="87" customFormat="false" ht="13.8" hidden="false" customHeight="false" outlineLevel="0" collapsed="false">
      <c r="A87" s="136" t="s">
        <v>369</v>
      </c>
      <c r="B87" s="136"/>
      <c r="C87" s="136"/>
      <c r="D87" s="136"/>
      <c r="E87" s="136"/>
    </row>
    <row r="88" customFormat="false" ht="13.8" hidden="false" customHeight="false" outlineLevel="0" collapsed="false">
      <c r="A88" s="136" t="s">
        <v>370</v>
      </c>
      <c r="B88" s="136"/>
      <c r="C88" s="136"/>
      <c r="D88" s="136"/>
      <c r="E88" s="136"/>
    </row>
    <row r="89" customFormat="false" ht="13.8" hidden="false" customHeight="false" outlineLevel="0" collapsed="false">
      <c r="A89" s="136"/>
      <c r="B89" s="136"/>
      <c r="C89" s="136"/>
      <c r="D89" s="136"/>
      <c r="E89" s="136"/>
    </row>
    <row r="90" customFormat="false" ht="13.8" hidden="false" customHeight="false" outlineLevel="0" collapsed="false">
      <c r="A90" s="136" t="s">
        <v>371</v>
      </c>
      <c r="B90" s="136"/>
      <c r="C90" s="136"/>
      <c r="D90" s="136"/>
      <c r="E90" s="136"/>
    </row>
  </sheetData>
  <mergeCells count="8">
    <mergeCell ref="A1:E1"/>
    <mergeCell ref="A2:E2"/>
    <mergeCell ref="A85:E85"/>
    <mergeCell ref="A86:E86"/>
    <mergeCell ref="A87:E87"/>
    <mergeCell ref="A88:E88"/>
    <mergeCell ref="A89:E89"/>
    <mergeCell ref="A90:E90"/>
  </mergeCells>
  <conditionalFormatting sqref="D5:D200">
    <cfRule type="cellIs" priority="2" operator="equal" aboveAverage="0" equalAverage="0" bottom="0" percent="0" rank="0" text="" dxfId="4">
      <formula>10</formula>
    </cfRule>
    <cfRule type="cellIs" priority="3" operator="equal" aboveAverage="0" equalAverage="0" bottom="0" percent="0" rank="0" text="" dxfId="5">
      <formula>0</formula>
    </cfRule>
    <cfRule type="cellIs" priority="4" operator="equal" aboveAverage="0" equalAverage="0" bottom="0" percent="0" rank="0" text="" dxfId="6">
      <formula>5</formula>
    </cfRule>
  </conditionalFormatting>
  <dataValidations count="1">
    <dataValidation allowBlank="true" errorStyle="stop" operator="between" showDropDown="false" showErrorMessage="false" showInputMessage="false" sqref="D5:D200" type="list">
      <formula1>"0,5,10"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AD32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I27" activeCellId="1" sqref="K3:M3 I27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3" width="13"/>
    <col collapsed="false" customWidth="true" hidden="false" outlineLevel="0" max="2" min="2" style="23" width="16"/>
    <col collapsed="false" customWidth="true" hidden="false" outlineLevel="0" max="31" min="3" style="23" width="13"/>
  </cols>
  <sheetData>
    <row r="1" customFormat="false" ht="15" hidden="false" customHeight="true" outlineLevel="0" collapsed="false">
      <c r="A1" s="137" t="s">
        <v>372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</row>
    <row r="2" customFormat="false" ht="15" hidden="false" customHeight="true" outlineLevel="0" collapsed="false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</row>
    <row r="3" customFormat="false" ht="15" hidden="false" customHeight="true" outlineLevel="0" collapsed="false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5" customFormat="false" ht="15" hidden="false" customHeight="true" outlineLevel="0" collapsed="false">
      <c r="B5" s="138" t="s">
        <v>373</v>
      </c>
      <c r="C5" s="139" t="s">
        <v>374</v>
      </c>
      <c r="D5" s="139"/>
      <c r="E5" s="139"/>
      <c r="F5" s="139"/>
      <c r="G5" s="139"/>
      <c r="H5" s="139"/>
    </row>
    <row r="6" customFormat="false" ht="15" hidden="false" customHeight="true" outlineLevel="0" collapsed="false">
      <c r="B6" s="138" t="s">
        <v>375</v>
      </c>
      <c r="C6" s="139" t="s">
        <v>376</v>
      </c>
      <c r="D6" s="139"/>
      <c r="E6" s="139"/>
      <c r="F6" s="139"/>
      <c r="G6" s="139"/>
      <c r="H6" s="139"/>
    </row>
    <row r="7" customFormat="false" ht="15" hidden="false" customHeight="true" outlineLevel="0" collapsed="false">
      <c r="B7" s="138" t="s">
        <v>377</v>
      </c>
      <c r="C7" s="139" t="s">
        <v>378</v>
      </c>
      <c r="D7" s="139"/>
      <c r="E7" s="139"/>
      <c r="F7" s="139"/>
      <c r="G7" s="139"/>
      <c r="H7" s="139"/>
    </row>
    <row r="8" customFormat="false" ht="15" hidden="false" customHeight="true" outlineLevel="0" collapsed="false">
      <c r="B8" s="138" t="s">
        <v>379</v>
      </c>
      <c r="C8" s="139" t="s">
        <v>380</v>
      </c>
      <c r="D8" s="139"/>
      <c r="E8" s="139"/>
      <c r="F8" s="139"/>
      <c r="G8" s="139"/>
      <c r="H8" s="139"/>
    </row>
    <row r="9" customFormat="false" ht="15" hidden="false" customHeight="true" outlineLevel="0" collapsed="false">
      <c r="B9" s="138" t="s">
        <v>381</v>
      </c>
      <c r="C9" s="139" t="s">
        <v>382</v>
      </c>
      <c r="D9" s="139"/>
      <c r="E9" s="139"/>
      <c r="F9" s="139"/>
      <c r="G9" s="139"/>
      <c r="H9" s="139"/>
    </row>
    <row r="11" customFormat="false" ht="15.75" hidden="false" customHeight="true" outlineLevel="0" collapsed="false">
      <c r="B11" s="140" t="s">
        <v>383</v>
      </c>
    </row>
    <row r="12" customFormat="false" ht="15" hidden="false" customHeight="true" outlineLevel="0" collapsed="false">
      <c r="B12" s="26" t="s">
        <v>274</v>
      </c>
      <c r="C12" s="26" t="s">
        <v>11</v>
      </c>
      <c r="D12" s="26" t="s">
        <v>384</v>
      </c>
      <c r="E12" s="26" t="s">
        <v>385</v>
      </c>
      <c r="F12" s="26" t="s">
        <v>386</v>
      </c>
      <c r="G12" s="26" t="s">
        <v>12</v>
      </c>
      <c r="H12" s="26" t="s">
        <v>387</v>
      </c>
      <c r="I12" s="26" t="s">
        <v>388</v>
      </c>
    </row>
    <row r="13" customFormat="false" ht="15" hidden="false" customHeight="true" outlineLevel="0" collapsed="false">
      <c r="B13" s="141" t="s">
        <v>389</v>
      </c>
      <c r="C13" s="141" t="s">
        <v>11</v>
      </c>
      <c r="D13" s="141" t="n">
        <v>1</v>
      </c>
      <c r="E13" s="141" t="s">
        <v>390</v>
      </c>
      <c r="F13" s="141" t="s">
        <v>391</v>
      </c>
      <c r="G13" s="141" t="s">
        <v>31</v>
      </c>
      <c r="H13" s="141" t="n">
        <v>0</v>
      </c>
      <c r="I13" s="141" t="n">
        <v>0</v>
      </c>
    </row>
    <row r="16" customFormat="false" ht="15.75" hidden="false" customHeight="true" outlineLevel="0" collapsed="false">
      <c r="B16" s="140" t="s">
        <v>392</v>
      </c>
    </row>
    <row r="17" customFormat="false" ht="34.5" hidden="false" customHeight="true" outlineLevel="0" collapsed="false">
      <c r="B17" s="142" t="s">
        <v>274</v>
      </c>
      <c r="C17" s="142" t="s">
        <v>11</v>
      </c>
      <c r="D17" s="142" t="s">
        <v>384</v>
      </c>
      <c r="E17" s="142" t="s">
        <v>108</v>
      </c>
      <c r="F17" s="142" t="s">
        <v>129</v>
      </c>
      <c r="G17" s="142" t="s">
        <v>393</v>
      </c>
      <c r="H17" s="142" t="s">
        <v>394</v>
      </c>
      <c r="I17" s="142" t="s">
        <v>18</v>
      </c>
      <c r="J17" s="142" t="s">
        <v>20</v>
      </c>
      <c r="K17" s="142" t="s">
        <v>395</v>
      </c>
      <c r="L17" s="142" t="s">
        <v>131</v>
      </c>
      <c r="M17" s="142" t="s">
        <v>396</v>
      </c>
      <c r="N17" s="142" t="s">
        <v>397</v>
      </c>
      <c r="O17" s="142" t="s">
        <v>398</v>
      </c>
      <c r="P17" s="142" t="s">
        <v>111</v>
      </c>
      <c r="Q17" s="142" t="s">
        <v>399</v>
      </c>
      <c r="R17" s="142" t="s">
        <v>400</v>
      </c>
      <c r="S17" s="142" t="s">
        <v>103</v>
      </c>
      <c r="T17" s="142" t="s">
        <v>401</v>
      </c>
      <c r="U17" s="142" t="s">
        <v>402</v>
      </c>
      <c r="V17" s="142" t="s">
        <v>105</v>
      </c>
      <c r="W17" s="142" t="s">
        <v>133</v>
      </c>
      <c r="X17" s="142" t="s">
        <v>134</v>
      </c>
      <c r="Y17" s="142" t="s">
        <v>135</v>
      </c>
      <c r="Z17" s="142" t="s">
        <v>136</v>
      </c>
      <c r="AA17" s="142" t="s">
        <v>403</v>
      </c>
      <c r="AB17" s="142" t="s">
        <v>404</v>
      </c>
      <c r="AC17" s="142" t="s">
        <v>55</v>
      </c>
      <c r="AD17" s="142" t="s">
        <v>132</v>
      </c>
    </row>
    <row r="18" customFormat="false" ht="15" hidden="false" customHeight="true" outlineLevel="0" collapsed="false"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</row>
    <row r="19" customFormat="false" ht="15" hidden="false" customHeight="true" outlineLevel="0" collapsed="false">
      <c r="B19" s="144"/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  <c r="N19" s="144"/>
      <c r="O19" s="144"/>
      <c r="P19" s="144"/>
      <c r="Q19" s="144"/>
      <c r="R19" s="144"/>
      <c r="S19" s="144"/>
      <c r="T19" s="144"/>
      <c r="U19" s="144"/>
      <c r="V19" s="144"/>
      <c r="W19" s="144"/>
      <c r="X19" s="144"/>
      <c r="Y19" s="144"/>
      <c r="Z19" s="144"/>
      <c r="AA19" s="144"/>
      <c r="AB19" s="144"/>
      <c r="AC19" s="144"/>
      <c r="AD19" s="144"/>
    </row>
    <row r="20" customFormat="false" ht="15" hidden="false" customHeight="true" outlineLevel="0" collapsed="false"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</row>
    <row r="21" customFormat="false" ht="15" hidden="false" customHeight="true" outlineLevel="0" collapsed="false">
      <c r="B21" s="144"/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  <c r="Q21" s="144"/>
      <c r="R21" s="144"/>
      <c r="S21" s="144"/>
      <c r="T21" s="144"/>
      <c r="U21" s="144"/>
      <c r="V21" s="144"/>
      <c r="W21" s="144"/>
      <c r="X21" s="144"/>
      <c r="Y21" s="144"/>
      <c r="Z21" s="144"/>
      <c r="AA21" s="144"/>
      <c r="AB21" s="144"/>
      <c r="AC21" s="144"/>
      <c r="AD21" s="144"/>
    </row>
    <row r="22" customFormat="false" ht="15" hidden="false" customHeight="true" outlineLevel="0" collapsed="false"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</row>
    <row r="23" customFormat="false" ht="15" hidden="false" customHeight="true" outlineLevel="0" collapsed="false"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</row>
    <row r="24" customFormat="false" ht="15" hidden="false" customHeight="true" outlineLevel="0" collapsed="false"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</row>
    <row r="25" customFormat="false" ht="15" hidden="false" customHeight="true" outlineLevel="0" collapsed="false">
      <c r="B25" s="144"/>
      <c r="C25" s="144"/>
      <c r="D25" s="144"/>
      <c r="E25" s="144"/>
      <c r="F25" s="144"/>
      <c r="G25" s="144"/>
      <c r="H25" s="144"/>
      <c r="I25" s="144"/>
      <c r="J25" s="144"/>
      <c r="K25" s="144"/>
      <c r="L25" s="144"/>
      <c r="M25" s="144"/>
      <c r="N25" s="144"/>
      <c r="O25" s="144"/>
      <c r="P25" s="144"/>
      <c r="Q25" s="144"/>
      <c r="R25" s="144"/>
      <c r="S25" s="144"/>
      <c r="T25" s="144"/>
      <c r="U25" s="144"/>
      <c r="V25" s="144"/>
      <c r="W25" s="144"/>
      <c r="X25" s="144"/>
      <c r="Y25" s="144"/>
      <c r="Z25" s="144"/>
      <c r="AA25" s="144"/>
      <c r="AB25" s="144"/>
      <c r="AC25" s="144"/>
      <c r="AD25" s="144"/>
    </row>
    <row r="26" customFormat="false" ht="15" hidden="false" customHeight="true" outlineLevel="0" collapsed="false"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</row>
    <row r="27" customFormat="false" ht="15" hidden="false" customHeight="true" outlineLevel="0" collapsed="false">
      <c r="B27" s="144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4"/>
      <c r="U27" s="144"/>
      <c r="V27" s="144"/>
      <c r="W27" s="144"/>
      <c r="X27" s="144"/>
      <c r="Y27" s="144"/>
      <c r="Z27" s="144"/>
      <c r="AA27" s="144"/>
      <c r="AB27" s="144"/>
      <c r="AC27" s="144"/>
      <c r="AD27" s="144"/>
    </row>
    <row r="28" customFormat="false" ht="15" hidden="false" customHeight="true" outlineLevel="0" collapsed="false"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</row>
    <row r="29" customFormat="false" ht="15" hidden="false" customHeight="true" outlineLevel="0" collapsed="false">
      <c r="B29" s="144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4"/>
      <c r="U29" s="144"/>
      <c r="V29" s="144"/>
      <c r="W29" s="144"/>
      <c r="X29" s="144"/>
      <c r="Y29" s="144"/>
      <c r="Z29" s="144"/>
      <c r="AA29" s="144"/>
      <c r="AB29" s="144"/>
      <c r="AC29" s="144"/>
      <c r="AD29" s="144"/>
    </row>
    <row r="30" customFormat="false" ht="15" hidden="false" customHeight="true" outlineLevel="0" collapsed="false"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</row>
    <row r="31" customFormat="false" ht="15" hidden="false" customHeight="true" outlineLevel="0" collapsed="false"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</row>
    <row r="32" customFormat="false" ht="15" hidden="false" customHeight="true" outlineLevel="0" collapsed="false"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</row>
  </sheetData>
  <mergeCells count="6">
    <mergeCell ref="A1:L2"/>
    <mergeCell ref="C5:H5"/>
    <mergeCell ref="C6:H6"/>
    <mergeCell ref="C7:H7"/>
    <mergeCell ref="C8:H8"/>
    <mergeCell ref="C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F2" activeCellId="1" sqref="K3:M3 F2"/>
    </sheetView>
  </sheetViews>
  <sheetFormatPr defaultColWidth="15.66015625" defaultRowHeight="15" customHeight="false" zeroHeight="false" outlineLevelRow="0" outlineLevelCol="0"/>
  <cols>
    <col collapsed="false" customWidth="true" hidden="false" outlineLevel="0" max="1" min="1" style="23" width="20.09"/>
  </cols>
  <sheetData>
    <row r="1" customFormat="false" ht="15" hidden="false" customHeight="true" outlineLevel="0" collapsed="false">
      <c r="A1" s="145" t="s">
        <v>108</v>
      </c>
      <c r="B1" s="145" t="s">
        <v>129</v>
      </c>
      <c r="C1" s="145" t="s">
        <v>109</v>
      </c>
      <c r="D1" s="145" t="s">
        <v>405</v>
      </c>
      <c r="E1" s="145" t="s">
        <v>406</v>
      </c>
      <c r="F1" s="145" t="s">
        <v>407</v>
      </c>
      <c r="G1" s="145" t="s">
        <v>408</v>
      </c>
    </row>
    <row r="2" customFormat="false" ht="15" hidden="false" customHeight="true" outlineLevel="0" collapsed="false">
      <c r="A2" s="146" t="s">
        <v>125</v>
      </c>
      <c r="B2" s="28" t="n">
        <v>9</v>
      </c>
      <c r="C2" s="28" t="s">
        <v>113</v>
      </c>
      <c r="D2" s="28" t="s">
        <v>409</v>
      </c>
      <c r="E2" s="28"/>
      <c r="F2" s="28"/>
      <c r="G2" s="28"/>
    </row>
    <row r="3" customFormat="false" ht="15" hidden="false" customHeight="true" outlineLevel="0" collapsed="false">
      <c r="A3" s="147" t="s">
        <v>213</v>
      </c>
      <c r="B3" s="31" t="n">
        <v>16</v>
      </c>
      <c r="C3" s="31" t="s">
        <v>176</v>
      </c>
      <c r="D3" s="31" t="s">
        <v>409</v>
      </c>
      <c r="E3" s="31"/>
      <c r="F3" s="31"/>
      <c r="G3" s="31"/>
    </row>
    <row r="4" customFormat="false" ht="15" hidden="false" customHeight="true" outlineLevel="0" collapsed="false">
      <c r="A4" s="147" t="s">
        <v>35</v>
      </c>
      <c r="B4" s="31" t="n">
        <v>6</v>
      </c>
      <c r="C4" s="31" t="s">
        <v>112</v>
      </c>
      <c r="D4" s="31" t="s">
        <v>410</v>
      </c>
      <c r="E4" s="31"/>
      <c r="F4" s="31"/>
      <c r="G4" s="31"/>
    </row>
    <row r="5" customFormat="false" ht="15" hidden="false" customHeight="true" outlineLevel="0" collapsed="false">
      <c r="A5" s="147" t="s">
        <v>122</v>
      </c>
      <c r="B5" s="31" t="n">
        <v>17</v>
      </c>
      <c r="C5" s="31" t="s">
        <v>114</v>
      </c>
      <c r="D5" s="31" t="s">
        <v>409</v>
      </c>
      <c r="E5" s="31"/>
      <c r="F5" s="31"/>
      <c r="G5" s="31"/>
    </row>
    <row r="6" customFormat="false" ht="15" hidden="false" customHeight="true" outlineLevel="0" collapsed="false">
      <c r="A6" s="147" t="s">
        <v>25</v>
      </c>
      <c r="B6" s="31" t="n">
        <v>11</v>
      </c>
      <c r="C6" s="31" t="s">
        <v>113</v>
      </c>
      <c r="D6" s="31" t="s">
        <v>410</v>
      </c>
      <c r="E6" s="31"/>
      <c r="F6" s="31"/>
      <c r="G6" s="31"/>
    </row>
    <row r="7" customFormat="false" ht="24" hidden="false" customHeight="true" outlineLevel="0" collapsed="false">
      <c r="A7" s="147" t="s">
        <v>118</v>
      </c>
      <c r="B7" s="31" t="n">
        <v>2</v>
      </c>
      <c r="C7" s="31" t="s">
        <v>113</v>
      </c>
      <c r="D7" s="31" t="s">
        <v>409</v>
      </c>
      <c r="E7" s="31"/>
      <c r="F7" s="31"/>
      <c r="G7" s="31"/>
    </row>
    <row r="8" customFormat="false" ht="15" hidden="false" customHeight="true" outlineLevel="0" collapsed="false">
      <c r="A8" s="146" t="s">
        <v>40</v>
      </c>
      <c r="B8" s="28" t="n">
        <v>10</v>
      </c>
      <c r="C8" s="28" t="s">
        <v>114</v>
      </c>
      <c r="D8" s="28" t="s">
        <v>409</v>
      </c>
      <c r="E8" s="28"/>
      <c r="F8" s="28"/>
      <c r="G8" s="28"/>
    </row>
    <row r="9" customFormat="false" ht="15" hidden="false" customHeight="true" outlineLevel="0" collapsed="false">
      <c r="A9" s="146" t="s">
        <v>201</v>
      </c>
      <c r="B9" s="28" t="n">
        <v>16</v>
      </c>
      <c r="C9" s="28" t="s">
        <v>176</v>
      </c>
      <c r="D9" s="28" t="s">
        <v>409</v>
      </c>
      <c r="E9" s="28"/>
      <c r="F9" s="28"/>
      <c r="G9" s="28"/>
    </row>
    <row r="10" customFormat="false" ht="15" hidden="false" customHeight="true" outlineLevel="0" collapsed="false">
      <c r="A10" s="146" t="s">
        <v>214</v>
      </c>
      <c r="B10" s="28" t="n">
        <v>12</v>
      </c>
      <c r="C10" s="28" t="s">
        <v>176</v>
      </c>
      <c r="D10" s="28" t="s">
        <v>409</v>
      </c>
      <c r="E10" s="28"/>
      <c r="F10" s="28"/>
      <c r="G10" s="28"/>
    </row>
    <row r="11" customFormat="false" ht="15" hidden="false" customHeight="true" outlineLevel="0" collapsed="false">
      <c r="A11" s="147" t="s">
        <v>120</v>
      </c>
      <c r="B11" s="31" t="n">
        <v>7</v>
      </c>
      <c r="C11" s="31" t="s">
        <v>114</v>
      </c>
      <c r="D11" s="31" t="s">
        <v>409</v>
      </c>
      <c r="E11" s="31"/>
      <c r="F11" s="31"/>
      <c r="G11" s="31"/>
    </row>
    <row r="12" customFormat="false" ht="15" hidden="false" customHeight="true" outlineLevel="0" collapsed="false">
      <c r="A12" s="147" t="s">
        <v>24</v>
      </c>
      <c r="B12" s="31" t="n">
        <v>8</v>
      </c>
      <c r="C12" s="31" t="s">
        <v>112</v>
      </c>
      <c r="D12" s="31" t="s">
        <v>409</v>
      </c>
      <c r="E12" s="31"/>
      <c r="F12" s="31"/>
      <c r="G12" s="31"/>
    </row>
    <row r="13" customFormat="false" ht="15" hidden="false" customHeight="true" outlineLevel="0" collapsed="false">
      <c r="A13" s="147" t="s">
        <v>27</v>
      </c>
      <c r="B13" s="31" t="n">
        <v>9</v>
      </c>
      <c r="C13" s="31" t="s">
        <v>113</v>
      </c>
      <c r="D13" s="31" t="s">
        <v>409</v>
      </c>
      <c r="E13" s="31"/>
      <c r="F13" s="31"/>
      <c r="G13" s="31"/>
    </row>
    <row r="14" customFormat="false" ht="15" hidden="false" customHeight="true" outlineLevel="0" collapsed="false">
      <c r="A14" s="146" t="s">
        <v>126</v>
      </c>
      <c r="B14" s="28" t="n">
        <v>13</v>
      </c>
      <c r="C14" s="28" t="s">
        <v>116</v>
      </c>
      <c r="D14" s="28" t="s">
        <v>409</v>
      </c>
      <c r="E14" s="28"/>
      <c r="F14" s="28"/>
      <c r="G14" s="28"/>
    </row>
    <row r="15" customFormat="false" ht="23.25" hidden="false" customHeight="true" outlineLevel="0" collapsed="false">
      <c r="A15" s="146" t="s">
        <v>179</v>
      </c>
      <c r="B15" s="28" t="n">
        <v>1</v>
      </c>
      <c r="C15" s="28" t="s">
        <v>176</v>
      </c>
      <c r="D15" s="28" t="s">
        <v>409</v>
      </c>
      <c r="E15" s="28"/>
      <c r="F15" s="28"/>
      <c r="G15" s="28"/>
    </row>
    <row r="16" customFormat="false" ht="15" hidden="false" customHeight="true" outlineLevel="0" collapsed="false">
      <c r="A16" s="146" t="s">
        <v>33</v>
      </c>
      <c r="B16" s="28" t="n">
        <v>5</v>
      </c>
      <c r="C16" s="28" t="s">
        <v>113</v>
      </c>
      <c r="D16" s="28" t="s">
        <v>409</v>
      </c>
      <c r="E16" s="28"/>
      <c r="F16" s="28"/>
      <c r="G16" s="28"/>
    </row>
    <row r="17" customFormat="false" ht="15" hidden="false" customHeight="true" outlineLevel="0" collapsed="false">
      <c r="A17" s="146" t="s">
        <v>123</v>
      </c>
      <c r="B17" s="28" t="n">
        <v>2</v>
      </c>
      <c r="C17" s="28" t="s">
        <v>112</v>
      </c>
      <c r="D17" s="28" t="s">
        <v>409</v>
      </c>
      <c r="E17" s="28"/>
      <c r="F17" s="28"/>
      <c r="G17" s="28"/>
    </row>
    <row r="18" customFormat="false" ht="15" hidden="false" customHeight="true" outlineLevel="0" collapsed="false">
      <c r="A18" s="146" t="s">
        <v>124</v>
      </c>
      <c r="B18" s="28" t="n">
        <v>7</v>
      </c>
      <c r="C18" s="28" t="s">
        <v>116</v>
      </c>
      <c r="D18" s="28" t="s">
        <v>410</v>
      </c>
      <c r="E18" s="28"/>
      <c r="F18" s="28"/>
      <c r="G18" s="28"/>
    </row>
    <row r="19" customFormat="false" ht="15" hidden="false" customHeight="true" outlineLevel="0" collapsed="false">
      <c r="A19" s="146" t="s">
        <v>34</v>
      </c>
      <c r="B19" s="28" t="n">
        <v>4</v>
      </c>
      <c r="C19" s="28" t="s">
        <v>116</v>
      </c>
      <c r="D19" s="28" t="s">
        <v>409</v>
      </c>
      <c r="E19" s="28"/>
      <c r="F19" s="28"/>
      <c r="G19" s="28"/>
    </row>
    <row r="20" customFormat="false" ht="15" hidden="false" customHeight="true" outlineLevel="0" collapsed="false">
      <c r="A20" s="146" t="s">
        <v>119</v>
      </c>
      <c r="B20" s="28" t="n">
        <v>6</v>
      </c>
      <c r="C20" s="28" t="s">
        <v>112</v>
      </c>
      <c r="D20" s="28" t="s">
        <v>409</v>
      </c>
      <c r="E20" s="28"/>
      <c r="F20" s="28"/>
      <c r="G20" s="28"/>
    </row>
    <row r="21" customFormat="false" ht="15" hidden="false" customHeight="true" outlineLevel="0" collapsed="false">
      <c r="A21" s="147" t="s">
        <v>234</v>
      </c>
      <c r="B21" s="31" t="n">
        <v>12</v>
      </c>
      <c r="C21" s="31" t="s">
        <v>176</v>
      </c>
      <c r="D21" s="31" t="s">
        <v>409</v>
      </c>
      <c r="E21" s="31"/>
      <c r="F21" s="31"/>
      <c r="G21" s="31"/>
    </row>
    <row r="22" customFormat="false" ht="15" hidden="false" customHeight="true" outlineLevel="0" collapsed="false">
      <c r="A22" s="147" t="s">
        <v>121</v>
      </c>
      <c r="B22" s="31" t="n">
        <v>13</v>
      </c>
      <c r="C22" s="31" t="s">
        <v>114</v>
      </c>
      <c r="D22" s="31" t="s">
        <v>410</v>
      </c>
      <c r="E22" s="31"/>
      <c r="F22" s="31"/>
      <c r="G22" s="31"/>
    </row>
    <row r="23" customFormat="false" ht="15" hidden="false" customHeight="true" outlineLevel="0" collapsed="false">
      <c r="A23" s="147" t="s">
        <v>28</v>
      </c>
      <c r="B23" s="31" t="n">
        <v>3</v>
      </c>
      <c r="C23" s="31" t="s">
        <v>112</v>
      </c>
      <c r="D23" s="31" t="s">
        <v>409</v>
      </c>
      <c r="E23" s="31"/>
      <c r="F23" s="31"/>
      <c r="G23" s="31"/>
    </row>
    <row r="24" customFormat="false" ht="15" hidden="false" customHeight="true" outlineLevel="0" collapsed="false">
      <c r="A24" s="147" t="s">
        <v>127</v>
      </c>
      <c r="B24" s="31" t="n">
        <v>4</v>
      </c>
      <c r="C24" s="31" t="s">
        <v>116</v>
      </c>
      <c r="D24" s="31" t="s">
        <v>409</v>
      </c>
      <c r="E24" s="31"/>
      <c r="F24" s="31"/>
      <c r="G24" s="31"/>
    </row>
    <row r="25" customFormat="false" ht="15" hidden="false" customHeight="true" outlineLevel="0" collapsed="false">
      <c r="A25" s="146" t="s">
        <v>115</v>
      </c>
      <c r="B25" s="28" t="n">
        <v>14</v>
      </c>
      <c r="C25" s="28" t="s">
        <v>116</v>
      </c>
      <c r="D25" s="28" t="s">
        <v>409</v>
      </c>
      <c r="E25" s="28"/>
      <c r="F25" s="28"/>
      <c r="G25" s="28"/>
    </row>
  </sheetData>
  <autoFilter ref="A1:G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BI58"/>
  <sheetViews>
    <sheetView showFormulas="false" showGridLines="true" showRowColHeaders="true" showZeros="true" rightToLeft="false" tabSelected="false" showOutlineSymbols="true" defaultGridColor="true" view="normal" topLeftCell="AX1" colorId="64" zoomScale="45" zoomScaleNormal="45" zoomScalePageLayoutView="100" workbookViewId="0">
      <selection pane="topLeft" activeCell="BR2" activeCellId="1" sqref="K3:M3 BR2"/>
    </sheetView>
  </sheetViews>
  <sheetFormatPr defaultColWidth="18.43359375" defaultRowHeight="15" customHeight="false" zeroHeight="false" outlineLevelRow="0" outlineLevelCol="0"/>
  <cols>
    <col collapsed="false" customWidth="false" hidden="false" outlineLevel="0" max="16384" min="1" style="1" width="18.43"/>
  </cols>
  <sheetData>
    <row r="1" customFormat="false" ht="22.5" hidden="false" customHeight="true" outlineLevel="0" collapsed="false">
      <c r="A1" s="148" t="s">
        <v>274</v>
      </c>
      <c r="B1" s="148" t="s">
        <v>11</v>
      </c>
      <c r="C1" s="148" t="s">
        <v>384</v>
      </c>
      <c r="D1" s="148" t="s">
        <v>411</v>
      </c>
      <c r="E1" s="148" t="s">
        <v>386</v>
      </c>
      <c r="F1" s="148" t="s">
        <v>12</v>
      </c>
      <c r="G1" s="148" t="s">
        <v>108</v>
      </c>
      <c r="H1" s="148" t="s">
        <v>129</v>
      </c>
      <c r="I1" s="148" t="s">
        <v>109</v>
      </c>
      <c r="J1" s="148" t="s">
        <v>405</v>
      </c>
      <c r="K1" s="148" t="s">
        <v>406</v>
      </c>
      <c r="L1" s="148" t="s">
        <v>407</v>
      </c>
      <c r="M1" s="148" t="s">
        <v>408</v>
      </c>
      <c r="N1" s="148" t="s">
        <v>393</v>
      </c>
      <c r="O1" s="148" t="s">
        <v>412</v>
      </c>
      <c r="P1" s="148" t="s">
        <v>413</v>
      </c>
      <c r="Q1" s="148" t="s">
        <v>394</v>
      </c>
      <c r="R1" s="148" t="s">
        <v>414</v>
      </c>
      <c r="S1" s="148" t="s">
        <v>415</v>
      </c>
      <c r="T1" s="148" t="s">
        <v>18</v>
      </c>
      <c r="U1" s="148" t="s">
        <v>416</v>
      </c>
      <c r="V1" s="148" t="s">
        <v>395</v>
      </c>
      <c r="W1" s="148" t="s">
        <v>131</v>
      </c>
      <c r="X1" s="148" t="s">
        <v>396</v>
      </c>
      <c r="Y1" s="148" t="s">
        <v>397</v>
      </c>
      <c r="Z1" s="148" t="s">
        <v>398</v>
      </c>
      <c r="AA1" s="148" t="s">
        <v>417</v>
      </c>
      <c r="AB1" s="148" t="s">
        <v>399</v>
      </c>
      <c r="AC1" s="148" t="s">
        <v>400</v>
      </c>
      <c r="AD1" s="148" t="s">
        <v>418</v>
      </c>
      <c r="AE1" s="148" t="s">
        <v>401</v>
      </c>
      <c r="AF1" s="148" t="s">
        <v>419</v>
      </c>
      <c r="AG1" s="148" t="s">
        <v>420</v>
      </c>
      <c r="AH1" s="148" t="s">
        <v>421</v>
      </c>
      <c r="AI1" s="148" t="s">
        <v>422</v>
      </c>
      <c r="AJ1" s="148" t="s">
        <v>423</v>
      </c>
      <c r="AK1" s="148" t="s">
        <v>424</v>
      </c>
      <c r="AL1" s="148" t="s">
        <v>425</v>
      </c>
      <c r="AM1" s="148" t="s">
        <v>426</v>
      </c>
      <c r="AN1" s="148" t="s">
        <v>55</v>
      </c>
      <c r="AO1" s="148" t="s">
        <v>132</v>
      </c>
      <c r="AP1" s="148" t="s">
        <v>427</v>
      </c>
      <c r="AQ1" s="148" t="s">
        <v>177</v>
      </c>
      <c r="AR1" s="148" t="s">
        <v>428</v>
      </c>
      <c r="AS1" s="148" t="s">
        <v>429</v>
      </c>
      <c r="AT1" s="148" t="s">
        <v>430</v>
      </c>
      <c r="AU1" s="148" t="s">
        <v>431</v>
      </c>
      <c r="AV1" s="148" t="s">
        <v>432</v>
      </c>
      <c r="AW1" s="148" t="s">
        <v>433</v>
      </c>
      <c r="AX1" s="148" t="s">
        <v>434</v>
      </c>
      <c r="AY1" s="148" t="s">
        <v>435</v>
      </c>
      <c r="AZ1" s="148" t="s">
        <v>436</v>
      </c>
      <c r="BA1" s="148" t="s">
        <v>437</v>
      </c>
      <c r="BB1" s="148" t="s">
        <v>438</v>
      </c>
      <c r="BC1" s="148" t="s">
        <v>439</v>
      </c>
      <c r="BD1" s="148" t="s">
        <v>440</v>
      </c>
      <c r="BE1" s="148" t="s">
        <v>441</v>
      </c>
      <c r="BF1" s="148" t="s">
        <v>442</v>
      </c>
      <c r="BG1" s="148" t="s">
        <v>443</v>
      </c>
      <c r="BH1" s="148" t="s">
        <v>444</v>
      </c>
      <c r="BI1" s="148" t="s">
        <v>445</v>
      </c>
    </row>
    <row r="2" customFormat="false" ht="15" hidden="false" customHeight="true" outlineLevel="0" collapsed="false">
      <c r="A2" s="149" t="s">
        <v>277</v>
      </c>
      <c r="B2" s="149" t="s">
        <v>22</v>
      </c>
      <c r="C2" s="149" t="n">
        <v>1</v>
      </c>
      <c r="D2" s="149" t="n">
        <v>0</v>
      </c>
      <c r="E2" s="149" t="n">
        <v>0</v>
      </c>
      <c r="F2" s="149" t="s">
        <v>22</v>
      </c>
      <c r="G2" s="149" t="s">
        <v>25</v>
      </c>
      <c r="H2" s="149" t="n">
        <v>11</v>
      </c>
      <c r="I2" s="149" t="s">
        <v>113</v>
      </c>
      <c r="J2" s="149" t="s">
        <v>410</v>
      </c>
      <c r="K2" s="149"/>
      <c r="L2" s="149"/>
      <c r="M2" s="149"/>
      <c r="N2" s="149" t="s">
        <v>108</v>
      </c>
      <c r="O2" s="149" t="s">
        <v>446</v>
      </c>
      <c r="P2" s="149" t="n">
        <v>10</v>
      </c>
      <c r="Q2" s="149" t="s">
        <v>157</v>
      </c>
      <c r="R2" s="149" t="n">
        <v>23</v>
      </c>
      <c r="S2" s="149" t="n">
        <v>0.57</v>
      </c>
      <c r="T2" s="149" t="n">
        <v>0</v>
      </c>
      <c r="U2" s="149" t="n">
        <v>1</v>
      </c>
      <c r="V2" s="149" t="n">
        <v>9</v>
      </c>
      <c r="W2" s="149" t="n">
        <v>6</v>
      </c>
      <c r="X2" s="149" t="n">
        <v>2</v>
      </c>
      <c r="Y2" s="149" t="n">
        <v>1</v>
      </c>
      <c r="Z2" s="149" t="n">
        <v>0</v>
      </c>
      <c r="AA2" s="149" t="n">
        <v>16</v>
      </c>
      <c r="AB2" s="149" t="n">
        <v>6</v>
      </c>
      <c r="AC2" s="149" t="n">
        <v>1</v>
      </c>
      <c r="AD2" s="149" t="n">
        <v>6</v>
      </c>
      <c r="AE2" s="149" t="n">
        <v>1</v>
      </c>
      <c r="AF2" s="149" t="n">
        <v>1</v>
      </c>
      <c r="AG2" s="149" t="n">
        <v>1</v>
      </c>
      <c r="AH2" s="149" t="n">
        <v>1</v>
      </c>
      <c r="AI2" s="149" t="n">
        <v>2</v>
      </c>
      <c r="AJ2" s="149" t="n">
        <v>3</v>
      </c>
      <c r="AK2" s="149" t="n">
        <v>4</v>
      </c>
      <c r="AL2" s="149" t="n">
        <v>0</v>
      </c>
      <c r="AM2" s="149" t="n">
        <v>0</v>
      </c>
      <c r="AN2" s="149" t="n">
        <v>3</v>
      </c>
      <c r="AO2" s="149" t="n">
        <v>2</v>
      </c>
      <c r="AP2" s="149"/>
      <c r="AQ2" s="149"/>
      <c r="AR2" s="149"/>
      <c r="AS2" s="149"/>
      <c r="AT2" s="149"/>
      <c r="AU2" s="149"/>
      <c r="AV2" s="149" t="n">
        <v>0.6667</v>
      </c>
      <c r="AW2" s="149" t="n">
        <v>0.5</v>
      </c>
      <c r="AX2" s="149" t="n">
        <v>0.75</v>
      </c>
      <c r="AY2" s="149" t="n">
        <v>0</v>
      </c>
      <c r="AZ2" s="149" t="n">
        <v>1.7391</v>
      </c>
      <c r="BA2" s="149" t="n">
        <v>15.6522</v>
      </c>
      <c r="BB2" s="149" t="n">
        <v>5.2174</v>
      </c>
      <c r="BC2" s="149" t="n">
        <v>3.4783</v>
      </c>
      <c r="BD2" s="149" t="n">
        <v>27.8261</v>
      </c>
      <c r="BE2" s="149" t="n">
        <v>0</v>
      </c>
      <c r="BF2" s="149" t="n">
        <v>0</v>
      </c>
      <c r="BG2" s="149" t="n">
        <v>0</v>
      </c>
      <c r="BH2" s="149" t="n">
        <v>0</v>
      </c>
      <c r="BI2" s="149"/>
    </row>
    <row r="3" customFormat="false" ht="15" hidden="false" customHeight="true" outlineLevel="0" collapsed="false">
      <c r="A3" s="149" t="s">
        <v>277</v>
      </c>
      <c r="B3" s="149" t="s">
        <v>22</v>
      </c>
      <c r="C3" s="149" t="n">
        <v>1</v>
      </c>
      <c r="D3" s="149" t="n">
        <v>0</v>
      </c>
      <c r="E3" s="149" t="n">
        <v>0</v>
      </c>
      <c r="F3" s="149" t="s">
        <v>22</v>
      </c>
      <c r="G3" s="149" t="s">
        <v>118</v>
      </c>
      <c r="H3" s="149" t="n">
        <v>2</v>
      </c>
      <c r="I3" s="149" t="s">
        <v>113</v>
      </c>
      <c r="J3" s="149" t="s">
        <v>409</v>
      </c>
      <c r="K3" s="149"/>
      <c r="L3" s="149"/>
      <c r="M3" s="149"/>
      <c r="N3" s="149" t="s">
        <v>108</v>
      </c>
      <c r="O3" s="149" t="s">
        <v>446</v>
      </c>
      <c r="P3" s="149" t="n">
        <v>2</v>
      </c>
      <c r="Q3" s="149" t="s">
        <v>162</v>
      </c>
      <c r="R3" s="149" t="n">
        <v>16</v>
      </c>
      <c r="S3" s="149" t="n">
        <v>0.4</v>
      </c>
      <c r="T3" s="149" t="n">
        <v>1</v>
      </c>
      <c r="U3" s="149" t="n">
        <v>1</v>
      </c>
      <c r="V3" s="149" t="n">
        <v>4</v>
      </c>
      <c r="W3" s="149" t="n">
        <v>2</v>
      </c>
      <c r="X3" s="149" t="n">
        <v>1</v>
      </c>
      <c r="Y3" s="149" t="n">
        <v>1</v>
      </c>
      <c r="Z3" s="149" t="n">
        <v>0</v>
      </c>
      <c r="AA3" s="149" t="n">
        <v>6</v>
      </c>
      <c r="AB3" s="149" t="n">
        <v>4</v>
      </c>
      <c r="AC3" s="149" t="n">
        <v>0</v>
      </c>
      <c r="AD3" s="149" t="n">
        <v>0</v>
      </c>
      <c r="AE3" s="149" t="n">
        <v>0</v>
      </c>
      <c r="AF3" s="149" t="n">
        <v>0</v>
      </c>
      <c r="AG3" s="149" t="n">
        <v>2</v>
      </c>
      <c r="AH3" s="149" t="n">
        <v>1</v>
      </c>
      <c r="AI3" s="149" t="n">
        <v>3</v>
      </c>
      <c r="AJ3" s="149" t="n">
        <v>1</v>
      </c>
      <c r="AK3" s="149" t="n">
        <v>2</v>
      </c>
      <c r="AL3" s="149" t="n">
        <v>0</v>
      </c>
      <c r="AM3" s="149" t="n">
        <v>0</v>
      </c>
      <c r="AN3" s="149" t="n">
        <v>2</v>
      </c>
      <c r="AO3" s="149" t="n">
        <v>1</v>
      </c>
      <c r="AP3" s="149"/>
      <c r="AQ3" s="149"/>
      <c r="AR3" s="149"/>
      <c r="AS3" s="149"/>
      <c r="AT3" s="149"/>
      <c r="AU3" s="149"/>
      <c r="AV3" s="149" t="n">
        <v>0.5</v>
      </c>
      <c r="AW3" s="149" t="n">
        <v>0.3333</v>
      </c>
      <c r="AX3" s="149" t="n">
        <v>0.5</v>
      </c>
      <c r="AY3" s="149" t="n">
        <v>2.5</v>
      </c>
      <c r="AZ3" s="149" t="n">
        <v>2.5</v>
      </c>
      <c r="BA3" s="149" t="n">
        <v>10</v>
      </c>
      <c r="BB3" s="149" t="n">
        <v>5</v>
      </c>
      <c r="BC3" s="149" t="n">
        <v>2.5</v>
      </c>
      <c r="BD3" s="149" t="n">
        <v>15</v>
      </c>
      <c r="BE3" s="149" t="n">
        <v>0</v>
      </c>
      <c r="BF3" s="149" t="n">
        <v>0</v>
      </c>
      <c r="BG3" s="149" t="n">
        <v>0</v>
      </c>
      <c r="BH3" s="149" t="n">
        <v>0</v>
      </c>
      <c r="BI3" s="149"/>
    </row>
    <row r="4" customFormat="false" ht="15" hidden="false" customHeight="true" outlineLevel="0" collapsed="false">
      <c r="A4" s="149" t="s">
        <v>277</v>
      </c>
      <c r="B4" s="149" t="s">
        <v>22</v>
      </c>
      <c r="C4" s="149" t="n">
        <v>1</v>
      </c>
      <c r="D4" s="149" t="n">
        <v>0</v>
      </c>
      <c r="E4" s="149" t="n">
        <v>0</v>
      </c>
      <c r="F4" s="149" t="s">
        <v>22</v>
      </c>
      <c r="G4" s="149" t="s">
        <v>40</v>
      </c>
      <c r="H4" s="149" t="n">
        <v>10</v>
      </c>
      <c r="I4" s="149" t="s">
        <v>114</v>
      </c>
      <c r="J4" s="149" t="s">
        <v>409</v>
      </c>
      <c r="K4" s="149"/>
      <c r="L4" s="149"/>
      <c r="M4" s="149"/>
      <c r="N4" s="149" t="s">
        <v>108</v>
      </c>
      <c r="O4" s="149" t="s">
        <v>446</v>
      </c>
      <c r="P4" s="149" t="n">
        <v>9</v>
      </c>
      <c r="Q4" s="149" t="s">
        <v>167</v>
      </c>
      <c r="R4" s="149" t="n">
        <v>14</v>
      </c>
      <c r="S4" s="149" t="n">
        <v>0.35</v>
      </c>
      <c r="T4" s="149" t="n">
        <v>0</v>
      </c>
      <c r="U4" s="149" t="n">
        <v>0</v>
      </c>
      <c r="V4" s="149" t="n">
        <v>1</v>
      </c>
      <c r="W4" s="149" t="n">
        <v>0</v>
      </c>
      <c r="X4" s="149" t="n">
        <v>0</v>
      </c>
      <c r="Y4" s="149" t="n">
        <v>1</v>
      </c>
      <c r="Z4" s="149" t="n">
        <v>0</v>
      </c>
      <c r="AA4" s="149" t="n">
        <v>3</v>
      </c>
      <c r="AB4" s="149" t="n">
        <v>1</v>
      </c>
      <c r="AC4" s="149" t="n">
        <v>0</v>
      </c>
      <c r="AD4" s="149" t="n">
        <v>0</v>
      </c>
      <c r="AE4" s="149" t="n">
        <v>0</v>
      </c>
      <c r="AF4" s="149" t="n">
        <v>2</v>
      </c>
      <c r="AG4" s="149" t="n">
        <v>0</v>
      </c>
      <c r="AH4" s="149" t="n">
        <v>0</v>
      </c>
      <c r="AI4" s="149" t="n">
        <v>1</v>
      </c>
      <c r="AJ4" s="149" t="n">
        <v>0</v>
      </c>
      <c r="AK4" s="149" t="n">
        <v>0</v>
      </c>
      <c r="AL4" s="149" t="n">
        <v>0</v>
      </c>
      <c r="AM4" s="149" t="n">
        <v>0</v>
      </c>
      <c r="AN4" s="149" t="n">
        <v>2</v>
      </c>
      <c r="AO4" s="149" t="n">
        <v>1</v>
      </c>
      <c r="AP4" s="149"/>
      <c r="AQ4" s="149"/>
      <c r="AR4" s="149"/>
      <c r="AS4" s="149"/>
      <c r="AT4" s="149"/>
      <c r="AU4" s="149"/>
      <c r="AV4" s="149" t="n">
        <v>0</v>
      </c>
      <c r="AW4" s="149" t="n">
        <v>0</v>
      </c>
      <c r="AX4" s="149"/>
      <c r="AY4" s="149" t="n">
        <v>0</v>
      </c>
      <c r="AZ4" s="149" t="n">
        <v>0</v>
      </c>
      <c r="BA4" s="149" t="n">
        <v>2.8571</v>
      </c>
      <c r="BB4" s="149" t="n">
        <v>5.7143</v>
      </c>
      <c r="BC4" s="149" t="n">
        <v>2.8571</v>
      </c>
      <c r="BD4" s="149" t="n">
        <v>8.5714</v>
      </c>
      <c r="BE4" s="149" t="n">
        <v>0</v>
      </c>
      <c r="BF4" s="149" t="n">
        <v>0</v>
      </c>
      <c r="BG4" s="149" t="n">
        <v>0</v>
      </c>
      <c r="BH4" s="149" t="n">
        <v>0</v>
      </c>
      <c r="BI4" s="149"/>
    </row>
    <row r="5" customFormat="false" ht="15" hidden="false" customHeight="true" outlineLevel="0" collapsed="false">
      <c r="A5" s="149" t="s">
        <v>277</v>
      </c>
      <c r="B5" s="149" t="s">
        <v>22</v>
      </c>
      <c r="C5" s="149" t="n">
        <v>1</v>
      </c>
      <c r="D5" s="149" t="n">
        <v>0</v>
      </c>
      <c r="E5" s="149" t="n">
        <v>0</v>
      </c>
      <c r="F5" s="149" t="s">
        <v>22</v>
      </c>
      <c r="G5" s="149" t="s">
        <v>120</v>
      </c>
      <c r="H5" s="149" t="n">
        <v>7</v>
      </c>
      <c r="I5" s="149" t="s">
        <v>114</v>
      </c>
      <c r="J5" s="149" t="s">
        <v>409</v>
      </c>
      <c r="K5" s="149"/>
      <c r="L5" s="149"/>
      <c r="M5" s="149"/>
      <c r="N5" s="149" t="s">
        <v>108</v>
      </c>
      <c r="O5" s="149" t="s">
        <v>446</v>
      </c>
      <c r="P5" s="149" t="n">
        <v>6</v>
      </c>
      <c r="Q5" s="149" t="s">
        <v>163</v>
      </c>
      <c r="R5" s="149" t="n">
        <v>14.5</v>
      </c>
      <c r="S5" s="149" t="n">
        <v>0.36</v>
      </c>
      <c r="T5" s="149" t="n">
        <v>1</v>
      </c>
      <c r="U5" s="149" t="n">
        <v>0</v>
      </c>
      <c r="V5" s="149" t="n">
        <v>7</v>
      </c>
      <c r="W5" s="149" t="n">
        <v>5</v>
      </c>
      <c r="X5" s="149" t="n">
        <v>2</v>
      </c>
      <c r="Y5" s="149" t="n">
        <v>0</v>
      </c>
      <c r="Z5" s="149" t="n">
        <v>0</v>
      </c>
      <c r="AA5" s="149" t="n">
        <v>4</v>
      </c>
      <c r="AB5" s="149" t="n">
        <v>2</v>
      </c>
      <c r="AC5" s="149" t="n">
        <v>0</v>
      </c>
      <c r="AD5" s="149" t="n">
        <v>0</v>
      </c>
      <c r="AE5" s="149" t="n">
        <v>1</v>
      </c>
      <c r="AF5" s="149" t="n">
        <v>0</v>
      </c>
      <c r="AG5" s="149" t="n">
        <v>1</v>
      </c>
      <c r="AH5" s="149" t="n">
        <v>0</v>
      </c>
      <c r="AI5" s="149" t="n">
        <v>1</v>
      </c>
      <c r="AJ5" s="149" t="n">
        <v>0</v>
      </c>
      <c r="AK5" s="149" t="n">
        <v>0</v>
      </c>
      <c r="AL5" s="149" t="n">
        <v>2</v>
      </c>
      <c r="AM5" s="149" t="n">
        <v>0</v>
      </c>
      <c r="AN5" s="149" t="n">
        <v>1</v>
      </c>
      <c r="AO5" s="149" t="n">
        <v>2</v>
      </c>
      <c r="AP5" s="149"/>
      <c r="AQ5" s="149"/>
      <c r="AR5" s="149"/>
      <c r="AS5" s="149"/>
      <c r="AT5" s="149"/>
      <c r="AU5" s="149"/>
      <c r="AV5" s="149" t="n">
        <v>0.7143</v>
      </c>
      <c r="AW5" s="149" t="n">
        <v>0</v>
      </c>
      <c r="AX5" s="149"/>
      <c r="AY5" s="149" t="n">
        <v>2.7586</v>
      </c>
      <c r="AZ5" s="149" t="n">
        <v>0</v>
      </c>
      <c r="BA5" s="149" t="n">
        <v>19.3103</v>
      </c>
      <c r="BB5" s="149" t="n">
        <v>2.7586</v>
      </c>
      <c r="BC5" s="149" t="n">
        <v>5.5172</v>
      </c>
      <c r="BD5" s="149" t="n">
        <v>11.0345</v>
      </c>
      <c r="BE5" s="149" t="n">
        <v>0</v>
      </c>
      <c r="BF5" s="149" t="n">
        <v>0</v>
      </c>
      <c r="BG5" s="149" t="n">
        <v>0</v>
      </c>
      <c r="BH5" s="149" t="n">
        <v>0</v>
      </c>
      <c r="BI5" s="149"/>
    </row>
    <row r="6" customFormat="false" ht="15" hidden="false" customHeight="true" outlineLevel="0" collapsed="false">
      <c r="A6" s="149" t="s">
        <v>277</v>
      </c>
      <c r="B6" s="149" t="s">
        <v>22</v>
      </c>
      <c r="C6" s="149" t="n">
        <v>1</v>
      </c>
      <c r="D6" s="149" t="n">
        <v>0</v>
      </c>
      <c r="E6" s="149" t="n">
        <v>0</v>
      </c>
      <c r="F6" s="149" t="s">
        <v>22</v>
      </c>
      <c r="G6" s="149" t="s">
        <v>24</v>
      </c>
      <c r="H6" s="149" t="n">
        <v>8</v>
      </c>
      <c r="I6" s="149" t="s">
        <v>112</v>
      </c>
      <c r="J6" s="149" t="s">
        <v>409</v>
      </c>
      <c r="K6" s="149"/>
      <c r="L6" s="149"/>
      <c r="M6" s="149"/>
      <c r="N6" s="149" t="s">
        <v>108</v>
      </c>
      <c r="O6" s="149" t="s">
        <v>446</v>
      </c>
      <c r="P6" s="149" t="n">
        <v>7</v>
      </c>
      <c r="Q6" s="149" t="s">
        <v>160</v>
      </c>
      <c r="R6" s="149" t="n">
        <v>17.5</v>
      </c>
      <c r="S6" s="149" t="n">
        <v>0.43</v>
      </c>
      <c r="T6" s="149" t="n">
        <v>1</v>
      </c>
      <c r="U6" s="149" t="n">
        <v>0</v>
      </c>
      <c r="V6" s="149" t="n">
        <v>4</v>
      </c>
      <c r="W6" s="149" t="n">
        <v>3</v>
      </c>
      <c r="X6" s="149" t="n">
        <v>0</v>
      </c>
      <c r="Y6" s="149" t="n">
        <v>1</v>
      </c>
      <c r="Z6" s="149" t="n">
        <v>0</v>
      </c>
      <c r="AA6" s="149" t="n">
        <v>5</v>
      </c>
      <c r="AB6" s="149" t="n">
        <v>2</v>
      </c>
      <c r="AC6" s="149" t="n">
        <v>1</v>
      </c>
      <c r="AD6" s="149" t="n">
        <v>0</v>
      </c>
      <c r="AE6" s="149" t="n">
        <v>1</v>
      </c>
      <c r="AF6" s="149" t="n">
        <v>1</v>
      </c>
      <c r="AG6" s="149" t="n">
        <v>0</v>
      </c>
      <c r="AH6" s="149" t="n">
        <v>3</v>
      </c>
      <c r="AI6" s="149" t="n">
        <v>4</v>
      </c>
      <c r="AJ6" s="149" t="n">
        <v>1</v>
      </c>
      <c r="AK6" s="149" t="n">
        <v>3</v>
      </c>
      <c r="AL6" s="149" t="n">
        <v>1</v>
      </c>
      <c r="AM6" s="149" t="n">
        <v>3</v>
      </c>
      <c r="AN6" s="149" t="n">
        <v>1</v>
      </c>
      <c r="AO6" s="149" t="n">
        <v>4</v>
      </c>
      <c r="AP6" s="149"/>
      <c r="AQ6" s="149"/>
      <c r="AR6" s="149"/>
      <c r="AS6" s="149"/>
      <c r="AT6" s="149"/>
      <c r="AU6" s="149"/>
      <c r="AV6" s="149" t="n">
        <v>0.75</v>
      </c>
      <c r="AW6" s="149" t="n">
        <v>0.75</v>
      </c>
      <c r="AX6" s="149" t="n">
        <v>0.3333</v>
      </c>
      <c r="AY6" s="149" t="n">
        <v>2.2857</v>
      </c>
      <c r="AZ6" s="149" t="n">
        <v>0</v>
      </c>
      <c r="BA6" s="149" t="n">
        <v>9.1429</v>
      </c>
      <c r="BB6" s="149" t="n">
        <v>2.2857</v>
      </c>
      <c r="BC6" s="149" t="n">
        <v>9.1429</v>
      </c>
      <c r="BD6" s="149" t="n">
        <v>11.4286</v>
      </c>
      <c r="BE6" s="149" t="n">
        <v>0</v>
      </c>
      <c r="BF6" s="149" t="n">
        <v>0</v>
      </c>
      <c r="BG6" s="149" t="n">
        <v>0</v>
      </c>
      <c r="BH6" s="149" t="n">
        <v>0</v>
      </c>
      <c r="BI6" s="149"/>
    </row>
    <row r="7" customFormat="false" ht="15" hidden="false" customHeight="true" outlineLevel="0" collapsed="false">
      <c r="A7" s="149" t="s">
        <v>277</v>
      </c>
      <c r="B7" s="149" t="s">
        <v>22</v>
      </c>
      <c r="C7" s="149" t="n">
        <v>1</v>
      </c>
      <c r="D7" s="149" t="n">
        <v>0</v>
      </c>
      <c r="E7" s="149" t="n">
        <v>0</v>
      </c>
      <c r="F7" s="149" t="s">
        <v>22</v>
      </c>
      <c r="G7" s="149" t="s">
        <v>27</v>
      </c>
      <c r="H7" s="149" t="n">
        <v>9</v>
      </c>
      <c r="I7" s="149" t="s">
        <v>113</v>
      </c>
      <c r="J7" s="149" t="s">
        <v>409</v>
      </c>
      <c r="K7" s="149"/>
      <c r="L7" s="149"/>
      <c r="M7" s="149"/>
      <c r="N7" s="149" t="s">
        <v>108</v>
      </c>
      <c r="O7" s="149" t="s">
        <v>446</v>
      </c>
      <c r="P7" s="149" t="n">
        <v>8</v>
      </c>
      <c r="Q7" s="149" t="s">
        <v>163</v>
      </c>
      <c r="R7" s="149" t="n">
        <v>14.5</v>
      </c>
      <c r="S7" s="149" t="n">
        <v>0.36</v>
      </c>
      <c r="T7" s="149" t="n">
        <v>1</v>
      </c>
      <c r="U7" s="149" t="n">
        <v>0</v>
      </c>
      <c r="V7" s="149" t="n">
        <v>7</v>
      </c>
      <c r="W7" s="149" t="n">
        <v>4</v>
      </c>
      <c r="X7" s="149" t="n">
        <v>2</v>
      </c>
      <c r="Y7" s="149" t="n">
        <v>1</v>
      </c>
      <c r="Z7" s="149" t="n">
        <v>0</v>
      </c>
      <c r="AA7" s="149" t="n">
        <v>4</v>
      </c>
      <c r="AB7" s="149" t="n">
        <v>0</v>
      </c>
      <c r="AC7" s="149" t="n">
        <v>0</v>
      </c>
      <c r="AD7" s="149" t="n">
        <v>2</v>
      </c>
      <c r="AE7" s="149" t="n">
        <v>0</v>
      </c>
      <c r="AF7" s="149" t="n">
        <v>0</v>
      </c>
      <c r="AG7" s="149" t="n">
        <v>2</v>
      </c>
      <c r="AH7" s="149" t="n">
        <v>9</v>
      </c>
      <c r="AI7" s="149" t="n">
        <v>9</v>
      </c>
      <c r="AJ7" s="149" t="n">
        <v>0</v>
      </c>
      <c r="AK7" s="149" t="n">
        <v>0</v>
      </c>
      <c r="AL7" s="149" t="n">
        <v>1</v>
      </c>
      <c r="AM7" s="149" t="n">
        <v>2</v>
      </c>
      <c r="AN7" s="149" t="n">
        <v>0</v>
      </c>
      <c r="AO7" s="149" t="n">
        <v>1</v>
      </c>
      <c r="AP7" s="149"/>
      <c r="AQ7" s="149"/>
      <c r="AR7" s="149"/>
      <c r="AS7" s="149"/>
      <c r="AT7" s="149"/>
      <c r="AU7" s="149"/>
      <c r="AV7" s="149" t="n">
        <v>0.5714</v>
      </c>
      <c r="AW7" s="149" t="n">
        <v>1</v>
      </c>
      <c r="AX7" s="149"/>
      <c r="AY7" s="149" t="n">
        <v>2.7586</v>
      </c>
      <c r="AZ7" s="149" t="n">
        <v>0</v>
      </c>
      <c r="BA7" s="149" t="n">
        <v>19.3103</v>
      </c>
      <c r="BB7" s="149" t="n">
        <v>0</v>
      </c>
      <c r="BC7" s="149" t="n">
        <v>2.7586</v>
      </c>
      <c r="BD7" s="149" t="n">
        <v>11.0345</v>
      </c>
      <c r="BE7" s="149" t="n">
        <v>0</v>
      </c>
      <c r="BF7" s="149" t="n">
        <v>0</v>
      </c>
      <c r="BG7" s="149" t="n">
        <v>0</v>
      </c>
      <c r="BH7" s="149" t="n">
        <v>0</v>
      </c>
      <c r="BI7" s="149"/>
    </row>
    <row r="8" customFormat="false" ht="15" hidden="false" customHeight="true" outlineLevel="0" collapsed="false">
      <c r="A8" s="149" t="s">
        <v>277</v>
      </c>
      <c r="B8" s="149" t="s">
        <v>22</v>
      </c>
      <c r="C8" s="149" t="n">
        <v>1</v>
      </c>
      <c r="D8" s="149" t="n">
        <v>0</v>
      </c>
      <c r="E8" s="149" t="n">
        <v>0</v>
      </c>
      <c r="F8" s="149" t="s">
        <v>22</v>
      </c>
      <c r="G8" s="149" t="s">
        <v>126</v>
      </c>
      <c r="H8" s="149" t="n">
        <v>13</v>
      </c>
      <c r="I8" s="149" t="s">
        <v>116</v>
      </c>
      <c r="J8" s="149" t="s">
        <v>409</v>
      </c>
      <c r="K8" s="149"/>
      <c r="L8" s="149"/>
      <c r="M8" s="149"/>
      <c r="N8" s="149" t="s">
        <v>108</v>
      </c>
      <c r="O8" s="149" t="s">
        <v>446</v>
      </c>
      <c r="P8" s="149" t="n">
        <v>11</v>
      </c>
      <c r="Q8" s="149" t="s">
        <v>168</v>
      </c>
      <c r="R8" s="149" t="n">
        <v>12.6667</v>
      </c>
      <c r="S8" s="149" t="n">
        <v>0.32</v>
      </c>
      <c r="T8" s="149" t="n">
        <v>0</v>
      </c>
      <c r="U8" s="149" t="n">
        <v>0</v>
      </c>
      <c r="V8" s="149" t="n">
        <v>5</v>
      </c>
      <c r="W8" s="149" t="n">
        <v>4</v>
      </c>
      <c r="X8" s="149" t="n">
        <v>1</v>
      </c>
      <c r="Y8" s="149" t="n">
        <v>0</v>
      </c>
      <c r="Z8" s="149" t="n">
        <v>0</v>
      </c>
      <c r="AA8" s="149" t="n">
        <v>2</v>
      </c>
      <c r="AB8" s="149" t="n">
        <v>1</v>
      </c>
      <c r="AC8" s="149" t="n">
        <v>0</v>
      </c>
      <c r="AD8" s="149" t="n">
        <v>0</v>
      </c>
      <c r="AE8" s="149" t="n">
        <v>0</v>
      </c>
      <c r="AF8" s="149" t="n">
        <v>1</v>
      </c>
      <c r="AG8" s="149" t="n">
        <v>0</v>
      </c>
      <c r="AH8" s="149" t="n">
        <v>1</v>
      </c>
      <c r="AI8" s="149" t="n">
        <v>1</v>
      </c>
      <c r="AJ8" s="149" t="n">
        <v>3</v>
      </c>
      <c r="AK8" s="149" t="n">
        <v>3</v>
      </c>
      <c r="AL8" s="149" t="n">
        <v>0</v>
      </c>
      <c r="AM8" s="149" t="n">
        <v>0</v>
      </c>
      <c r="AN8" s="149" t="n">
        <v>0</v>
      </c>
      <c r="AO8" s="149" t="n">
        <v>2</v>
      </c>
      <c r="AP8" s="149"/>
      <c r="AQ8" s="149"/>
      <c r="AR8" s="149"/>
      <c r="AS8" s="149"/>
      <c r="AT8" s="149"/>
      <c r="AU8" s="149"/>
      <c r="AV8" s="149" t="n">
        <v>0.8</v>
      </c>
      <c r="AW8" s="149" t="n">
        <v>1</v>
      </c>
      <c r="AX8" s="149" t="n">
        <v>1</v>
      </c>
      <c r="AY8" s="149" t="n">
        <v>0</v>
      </c>
      <c r="AZ8" s="149" t="n">
        <v>0</v>
      </c>
      <c r="BA8" s="149" t="n">
        <v>15.7895</v>
      </c>
      <c r="BB8" s="149" t="n">
        <v>0</v>
      </c>
      <c r="BC8" s="149" t="n">
        <v>6.3158</v>
      </c>
      <c r="BD8" s="149" t="n">
        <v>6.3158</v>
      </c>
      <c r="BE8" s="149" t="n">
        <v>0</v>
      </c>
      <c r="BF8" s="149" t="n">
        <v>0</v>
      </c>
      <c r="BG8" s="149" t="n">
        <v>0</v>
      </c>
      <c r="BH8" s="149" t="n">
        <v>0</v>
      </c>
      <c r="BI8" s="149"/>
    </row>
    <row r="9" customFormat="false" ht="15" hidden="false" customHeight="true" outlineLevel="0" collapsed="false">
      <c r="A9" s="149" t="s">
        <v>277</v>
      </c>
      <c r="B9" s="149" t="s">
        <v>22</v>
      </c>
      <c r="C9" s="149" t="n">
        <v>1</v>
      </c>
      <c r="D9" s="149" t="n">
        <v>0</v>
      </c>
      <c r="E9" s="149" t="n">
        <v>0</v>
      </c>
      <c r="F9" s="149" t="s">
        <v>22</v>
      </c>
      <c r="G9" s="149" t="s">
        <v>179</v>
      </c>
      <c r="H9" s="149" t="n">
        <v>1</v>
      </c>
      <c r="I9" s="149" t="s">
        <v>176</v>
      </c>
      <c r="J9" s="149" t="s">
        <v>409</v>
      </c>
      <c r="K9" s="149"/>
      <c r="L9" s="149"/>
      <c r="M9" s="149"/>
      <c r="N9" s="149" t="s">
        <v>176</v>
      </c>
      <c r="O9" s="149" t="s">
        <v>446</v>
      </c>
      <c r="P9" s="149" t="n">
        <v>1</v>
      </c>
      <c r="Q9" s="149" t="s">
        <v>180</v>
      </c>
      <c r="R9" s="149" t="n">
        <v>39</v>
      </c>
      <c r="S9" s="149" t="n">
        <v>0.98</v>
      </c>
      <c r="T9" s="149" t="n">
        <v>0</v>
      </c>
      <c r="U9" s="149" t="n">
        <v>0</v>
      </c>
      <c r="V9" s="149" t="n">
        <v>3</v>
      </c>
      <c r="W9" s="149" t="n">
        <v>1</v>
      </c>
      <c r="X9" s="149" t="n">
        <v>1</v>
      </c>
      <c r="Y9" s="149" t="n">
        <v>1</v>
      </c>
      <c r="Z9" s="149" t="n">
        <v>0</v>
      </c>
      <c r="AA9" s="149" t="n">
        <v>4</v>
      </c>
      <c r="AB9" s="149" t="n">
        <v>3</v>
      </c>
      <c r="AC9" s="149" t="n">
        <v>0</v>
      </c>
      <c r="AD9" s="149" t="n">
        <v>1</v>
      </c>
      <c r="AE9" s="149" t="n">
        <v>0</v>
      </c>
      <c r="AF9" s="149" t="n">
        <v>0</v>
      </c>
      <c r="AG9" s="149" t="n">
        <v>0</v>
      </c>
      <c r="AH9" s="149"/>
      <c r="AI9" s="149"/>
      <c r="AJ9" s="149"/>
      <c r="AK9" s="149"/>
      <c r="AL9" s="149"/>
      <c r="AM9" s="149"/>
      <c r="AN9" s="149"/>
      <c r="AO9" s="149"/>
      <c r="AP9" s="149" t="n">
        <v>3</v>
      </c>
      <c r="AQ9" s="149" t="n">
        <v>13</v>
      </c>
      <c r="AR9" s="149" t="n">
        <v>21</v>
      </c>
      <c r="AS9" s="149" t="n">
        <v>0</v>
      </c>
      <c r="AT9" s="149" t="n">
        <v>6</v>
      </c>
      <c r="AU9" s="149" t="n">
        <v>5</v>
      </c>
      <c r="AV9" s="149" t="n">
        <v>0.3333</v>
      </c>
      <c r="AW9" s="149"/>
      <c r="AX9" s="149"/>
      <c r="AY9" s="149" t="n">
        <v>0</v>
      </c>
      <c r="AZ9" s="149" t="n">
        <v>0</v>
      </c>
      <c r="BA9" s="149" t="n">
        <v>3.0769</v>
      </c>
      <c r="BB9" s="149" t="n">
        <v>0</v>
      </c>
      <c r="BC9" s="149" t="n">
        <v>0</v>
      </c>
      <c r="BD9" s="149" t="n">
        <v>4.1026</v>
      </c>
      <c r="BE9" s="149" t="n">
        <v>13.3333</v>
      </c>
      <c r="BF9" s="149" t="n">
        <v>3.0769</v>
      </c>
      <c r="BG9" s="149" t="n">
        <v>27</v>
      </c>
      <c r="BH9" s="149" t="n">
        <v>5</v>
      </c>
      <c r="BI9" s="149" t="n">
        <v>0.8438</v>
      </c>
    </row>
    <row r="10" customFormat="false" ht="15" hidden="false" customHeight="true" outlineLevel="0" collapsed="false">
      <c r="A10" s="149" t="s">
        <v>277</v>
      </c>
      <c r="B10" s="149" t="s">
        <v>22</v>
      </c>
      <c r="C10" s="149" t="n">
        <v>1</v>
      </c>
      <c r="D10" s="149" t="n">
        <v>0</v>
      </c>
      <c r="E10" s="149" t="n">
        <v>0</v>
      </c>
      <c r="F10" s="149" t="s">
        <v>22</v>
      </c>
      <c r="G10" s="149" t="s">
        <v>33</v>
      </c>
      <c r="H10" s="149" t="n">
        <v>5</v>
      </c>
      <c r="I10" s="149" t="s">
        <v>113</v>
      </c>
      <c r="J10" s="149" t="s">
        <v>409</v>
      </c>
      <c r="K10" s="149"/>
      <c r="L10" s="149"/>
      <c r="M10" s="149"/>
      <c r="N10" s="149" t="s">
        <v>108</v>
      </c>
      <c r="O10" s="149" t="s">
        <v>446</v>
      </c>
      <c r="P10" s="149" t="n">
        <v>4</v>
      </c>
      <c r="Q10" s="149" t="s">
        <v>173</v>
      </c>
      <c r="R10" s="149" t="n">
        <v>9</v>
      </c>
      <c r="S10" s="149" t="n">
        <v>0.22</v>
      </c>
      <c r="T10" s="149" t="n">
        <v>1</v>
      </c>
      <c r="U10" s="149" t="n">
        <v>1</v>
      </c>
      <c r="V10" s="149" t="n">
        <v>1</v>
      </c>
      <c r="W10" s="149" t="n">
        <v>1</v>
      </c>
      <c r="X10" s="149" t="n">
        <v>0</v>
      </c>
      <c r="Y10" s="149" t="n">
        <v>0</v>
      </c>
      <c r="Z10" s="149" t="n">
        <v>0</v>
      </c>
      <c r="AA10" s="149" t="n">
        <v>8</v>
      </c>
      <c r="AB10" s="149" t="n">
        <v>0</v>
      </c>
      <c r="AC10" s="149" t="n">
        <v>0</v>
      </c>
      <c r="AD10" s="149" t="n">
        <v>1</v>
      </c>
      <c r="AE10" s="149" t="n">
        <v>4</v>
      </c>
      <c r="AF10" s="149" t="n">
        <v>0</v>
      </c>
      <c r="AG10" s="149" t="n">
        <v>3</v>
      </c>
      <c r="AH10" s="149" t="n">
        <v>4</v>
      </c>
      <c r="AI10" s="149" t="n">
        <v>9</v>
      </c>
      <c r="AJ10" s="149" t="n">
        <v>1</v>
      </c>
      <c r="AK10" s="149" t="n">
        <v>1</v>
      </c>
      <c r="AL10" s="149" t="n">
        <v>1</v>
      </c>
      <c r="AM10" s="149" t="n">
        <v>1</v>
      </c>
      <c r="AN10" s="149" t="n">
        <v>0</v>
      </c>
      <c r="AO10" s="149" t="n">
        <v>1</v>
      </c>
      <c r="AP10" s="149"/>
      <c r="AQ10" s="149"/>
      <c r="AR10" s="149"/>
      <c r="AS10" s="149"/>
      <c r="AT10" s="149"/>
      <c r="AU10" s="149"/>
      <c r="AV10" s="149" t="n">
        <v>1</v>
      </c>
      <c r="AW10" s="149" t="n">
        <v>0.4444</v>
      </c>
      <c r="AX10" s="149" t="n">
        <v>1</v>
      </c>
      <c r="AY10" s="149" t="n">
        <v>4.4444</v>
      </c>
      <c r="AZ10" s="149" t="n">
        <v>4.4444</v>
      </c>
      <c r="BA10" s="149" t="n">
        <v>4.4444</v>
      </c>
      <c r="BB10" s="149" t="n">
        <v>0</v>
      </c>
      <c r="BC10" s="149" t="n">
        <v>4.4444</v>
      </c>
      <c r="BD10" s="149" t="n">
        <v>35.5556</v>
      </c>
      <c r="BE10" s="149" t="n">
        <v>0</v>
      </c>
      <c r="BF10" s="149" t="n">
        <v>0</v>
      </c>
      <c r="BG10" s="149" t="n">
        <v>0</v>
      </c>
      <c r="BH10" s="149" t="n">
        <v>0</v>
      </c>
      <c r="BI10" s="149"/>
    </row>
    <row r="11" customFormat="false" ht="15" hidden="false" customHeight="true" outlineLevel="0" collapsed="false">
      <c r="A11" s="149" t="s">
        <v>277</v>
      </c>
      <c r="B11" s="149" t="s">
        <v>22</v>
      </c>
      <c r="C11" s="149" t="n">
        <v>1</v>
      </c>
      <c r="D11" s="149" t="n">
        <v>0</v>
      </c>
      <c r="E11" s="149" t="n">
        <v>0</v>
      </c>
      <c r="F11" s="149" t="s">
        <v>22</v>
      </c>
      <c r="G11" s="149" t="s">
        <v>119</v>
      </c>
      <c r="H11" s="149" t="n">
        <v>6</v>
      </c>
      <c r="I11" s="149" t="s">
        <v>112</v>
      </c>
      <c r="J11" s="149" t="s">
        <v>409</v>
      </c>
      <c r="K11" s="149"/>
      <c r="L11" s="149"/>
      <c r="M11" s="149"/>
      <c r="N11" s="149" t="s">
        <v>108</v>
      </c>
      <c r="O11" s="149" t="s">
        <v>446</v>
      </c>
      <c r="P11" s="149" t="n">
        <v>5</v>
      </c>
      <c r="Q11" s="149" t="s">
        <v>171</v>
      </c>
      <c r="R11" s="149" t="n">
        <v>12</v>
      </c>
      <c r="S11" s="149" t="n">
        <v>0.3</v>
      </c>
      <c r="T11" s="149" t="n">
        <v>0</v>
      </c>
      <c r="U11" s="149" t="n">
        <v>1</v>
      </c>
      <c r="V11" s="149" t="n">
        <v>2</v>
      </c>
      <c r="W11" s="149" t="n">
        <v>0</v>
      </c>
      <c r="X11" s="149" t="n">
        <v>1</v>
      </c>
      <c r="Y11" s="149" t="n">
        <v>1</v>
      </c>
      <c r="Z11" s="149" t="n">
        <v>0</v>
      </c>
      <c r="AA11" s="149" t="n">
        <v>7</v>
      </c>
      <c r="AB11" s="149" t="n">
        <v>4</v>
      </c>
      <c r="AC11" s="149" t="n">
        <v>0</v>
      </c>
      <c r="AD11" s="149" t="n">
        <v>3</v>
      </c>
      <c r="AE11" s="149" t="n">
        <v>0</v>
      </c>
      <c r="AF11" s="149" t="n">
        <v>0</v>
      </c>
      <c r="AG11" s="149" t="n">
        <v>0</v>
      </c>
      <c r="AH11" s="149" t="n">
        <v>1</v>
      </c>
      <c r="AI11" s="149" t="n">
        <v>1</v>
      </c>
      <c r="AJ11" s="149" t="n">
        <v>1</v>
      </c>
      <c r="AK11" s="149" t="n">
        <v>1</v>
      </c>
      <c r="AL11" s="149" t="n">
        <v>0</v>
      </c>
      <c r="AM11" s="149" t="n">
        <v>2</v>
      </c>
      <c r="AN11" s="149" t="n">
        <v>0</v>
      </c>
      <c r="AO11" s="149" t="n">
        <v>1</v>
      </c>
      <c r="AP11" s="149"/>
      <c r="AQ11" s="149"/>
      <c r="AR11" s="149"/>
      <c r="AS11" s="149"/>
      <c r="AT11" s="149"/>
      <c r="AU11" s="149"/>
      <c r="AV11" s="149" t="n">
        <v>0</v>
      </c>
      <c r="AW11" s="149" t="n">
        <v>1</v>
      </c>
      <c r="AX11" s="149" t="n">
        <v>1</v>
      </c>
      <c r="AY11" s="149" t="n">
        <v>0</v>
      </c>
      <c r="AZ11" s="149" t="n">
        <v>3.3333</v>
      </c>
      <c r="BA11" s="149" t="n">
        <v>6.6667</v>
      </c>
      <c r="BB11" s="149" t="n">
        <v>0</v>
      </c>
      <c r="BC11" s="149" t="n">
        <v>3.3333</v>
      </c>
      <c r="BD11" s="149" t="n">
        <v>23.3333</v>
      </c>
      <c r="BE11" s="149" t="n">
        <v>0</v>
      </c>
      <c r="BF11" s="149" t="n">
        <v>0</v>
      </c>
      <c r="BG11" s="149" t="n">
        <v>0</v>
      </c>
      <c r="BH11" s="149" t="n">
        <v>0</v>
      </c>
      <c r="BI11" s="149"/>
    </row>
    <row r="12" customFormat="false" ht="15" hidden="false" customHeight="true" outlineLevel="0" collapsed="false">
      <c r="A12" s="149" t="s">
        <v>277</v>
      </c>
      <c r="B12" s="149" t="s">
        <v>22</v>
      </c>
      <c r="C12" s="149" t="n">
        <v>1</v>
      </c>
      <c r="D12" s="149" t="n">
        <v>0</v>
      </c>
      <c r="E12" s="149" t="n">
        <v>0</v>
      </c>
      <c r="F12" s="149" t="s">
        <v>22</v>
      </c>
      <c r="G12" s="149" t="s">
        <v>28</v>
      </c>
      <c r="H12" s="149" t="n">
        <v>3</v>
      </c>
      <c r="I12" s="149" t="s">
        <v>112</v>
      </c>
      <c r="J12" s="149" t="s">
        <v>409</v>
      </c>
      <c r="K12" s="149"/>
      <c r="L12" s="149"/>
      <c r="M12" s="149"/>
      <c r="N12" s="149" t="s">
        <v>108</v>
      </c>
      <c r="O12" s="149" t="s">
        <v>446</v>
      </c>
      <c r="P12" s="149" t="n">
        <v>3</v>
      </c>
      <c r="Q12" s="149" t="s">
        <v>172</v>
      </c>
      <c r="R12" s="149" t="n">
        <v>11</v>
      </c>
      <c r="S12" s="149" t="n">
        <v>0.27</v>
      </c>
      <c r="T12" s="149" t="n">
        <v>0</v>
      </c>
      <c r="U12" s="149" t="n">
        <v>0</v>
      </c>
      <c r="V12" s="149" t="n">
        <v>3</v>
      </c>
      <c r="W12" s="149" t="n">
        <v>1</v>
      </c>
      <c r="X12" s="149" t="n">
        <v>0</v>
      </c>
      <c r="Y12" s="149" t="n">
        <v>2</v>
      </c>
      <c r="Z12" s="149" t="n">
        <v>0</v>
      </c>
      <c r="AA12" s="149" t="n">
        <v>2</v>
      </c>
      <c r="AB12" s="149" t="n">
        <v>0</v>
      </c>
      <c r="AC12" s="149" t="n">
        <v>0</v>
      </c>
      <c r="AD12" s="149" t="n">
        <v>1</v>
      </c>
      <c r="AE12" s="149" t="n">
        <v>0</v>
      </c>
      <c r="AF12" s="149" t="n">
        <v>0</v>
      </c>
      <c r="AG12" s="149" t="n">
        <v>1</v>
      </c>
      <c r="AH12" s="149" t="n">
        <v>1</v>
      </c>
      <c r="AI12" s="149" t="n">
        <v>1</v>
      </c>
      <c r="AJ12" s="149" t="n">
        <v>0</v>
      </c>
      <c r="AK12" s="149" t="n">
        <v>1</v>
      </c>
      <c r="AL12" s="149" t="n">
        <v>2</v>
      </c>
      <c r="AM12" s="149" t="n">
        <v>0</v>
      </c>
      <c r="AN12" s="149" t="n">
        <v>2</v>
      </c>
      <c r="AO12" s="149" t="n">
        <v>1</v>
      </c>
      <c r="AP12" s="149"/>
      <c r="AQ12" s="149"/>
      <c r="AR12" s="149"/>
      <c r="AS12" s="149"/>
      <c r="AT12" s="149"/>
      <c r="AU12" s="149"/>
      <c r="AV12" s="149" t="n">
        <v>0.3333</v>
      </c>
      <c r="AW12" s="149" t="n">
        <v>1</v>
      </c>
      <c r="AX12" s="149" t="n">
        <v>0</v>
      </c>
      <c r="AY12" s="149" t="n">
        <v>0</v>
      </c>
      <c r="AZ12" s="149" t="n">
        <v>0</v>
      </c>
      <c r="BA12" s="149" t="n">
        <v>10.9091</v>
      </c>
      <c r="BB12" s="149" t="n">
        <v>7.2727</v>
      </c>
      <c r="BC12" s="149" t="n">
        <v>3.6364</v>
      </c>
      <c r="BD12" s="149" t="n">
        <v>7.2727</v>
      </c>
      <c r="BE12" s="149" t="n">
        <v>0</v>
      </c>
      <c r="BF12" s="149" t="n">
        <v>0</v>
      </c>
      <c r="BG12" s="149" t="n">
        <v>0</v>
      </c>
      <c r="BH12" s="149" t="n">
        <v>0</v>
      </c>
      <c r="BI12" s="149"/>
    </row>
    <row r="13" customFormat="false" ht="15" hidden="false" customHeight="true" outlineLevel="0" collapsed="false">
      <c r="A13" s="149" t="s">
        <v>277</v>
      </c>
      <c r="B13" s="149" t="s">
        <v>22</v>
      </c>
      <c r="C13" s="149" t="n">
        <v>1</v>
      </c>
      <c r="D13" s="149" t="n">
        <v>0</v>
      </c>
      <c r="E13" s="149" t="n">
        <v>0</v>
      </c>
      <c r="F13" s="149" t="s">
        <v>22</v>
      </c>
      <c r="G13" s="149" t="s">
        <v>115</v>
      </c>
      <c r="H13" s="149" t="n">
        <v>14</v>
      </c>
      <c r="I13" s="149" t="s">
        <v>116</v>
      </c>
      <c r="J13" s="149" t="s">
        <v>409</v>
      </c>
      <c r="K13" s="149"/>
      <c r="L13" s="149"/>
      <c r="M13" s="149"/>
      <c r="N13" s="149" t="s">
        <v>108</v>
      </c>
      <c r="O13" s="149" t="s">
        <v>446</v>
      </c>
      <c r="P13" s="149" t="n">
        <v>12</v>
      </c>
      <c r="Q13" s="149" t="s">
        <v>167</v>
      </c>
      <c r="R13" s="149" t="n">
        <v>14</v>
      </c>
      <c r="S13" s="149" t="n">
        <v>0.35</v>
      </c>
      <c r="T13" s="149" t="n">
        <v>0</v>
      </c>
      <c r="U13" s="149" t="n">
        <v>0</v>
      </c>
      <c r="V13" s="149" t="n">
        <v>2</v>
      </c>
      <c r="W13" s="149" t="n">
        <v>1</v>
      </c>
      <c r="X13" s="149" t="n">
        <v>1</v>
      </c>
      <c r="Y13" s="149" t="n">
        <v>0</v>
      </c>
      <c r="Z13" s="149" t="n">
        <v>0</v>
      </c>
      <c r="AA13" s="149" t="n">
        <v>3</v>
      </c>
      <c r="AB13" s="149" t="n">
        <v>1</v>
      </c>
      <c r="AC13" s="149" t="n">
        <v>0</v>
      </c>
      <c r="AD13" s="149" t="n">
        <v>1</v>
      </c>
      <c r="AE13" s="149" t="n">
        <v>0</v>
      </c>
      <c r="AF13" s="149" t="n">
        <v>1</v>
      </c>
      <c r="AG13" s="149" t="n">
        <v>0</v>
      </c>
      <c r="AH13" s="149" t="n">
        <v>0</v>
      </c>
      <c r="AI13" s="149" t="n">
        <v>0</v>
      </c>
      <c r="AJ13" s="149" t="n">
        <v>0</v>
      </c>
      <c r="AK13" s="149" t="n">
        <v>0</v>
      </c>
      <c r="AL13" s="149" t="n">
        <v>0</v>
      </c>
      <c r="AM13" s="149" t="n">
        <v>0</v>
      </c>
      <c r="AN13" s="149" t="n">
        <v>0</v>
      </c>
      <c r="AO13" s="149" t="n">
        <v>3</v>
      </c>
      <c r="AP13" s="149"/>
      <c r="AQ13" s="149"/>
      <c r="AR13" s="149"/>
      <c r="AS13" s="149"/>
      <c r="AT13" s="149"/>
      <c r="AU13" s="149"/>
      <c r="AV13" s="149" t="n">
        <v>0.5</v>
      </c>
      <c r="AW13" s="149"/>
      <c r="AX13" s="149"/>
      <c r="AY13" s="149" t="n">
        <v>0</v>
      </c>
      <c r="AZ13" s="149" t="n">
        <v>0</v>
      </c>
      <c r="BA13" s="149" t="n">
        <v>5.7143</v>
      </c>
      <c r="BB13" s="149" t="n">
        <v>0</v>
      </c>
      <c r="BC13" s="149" t="n">
        <v>8.5714</v>
      </c>
      <c r="BD13" s="149" t="n">
        <v>8.5714</v>
      </c>
      <c r="BE13" s="149" t="n">
        <v>0</v>
      </c>
      <c r="BF13" s="149" t="n">
        <v>0</v>
      </c>
      <c r="BG13" s="149" t="n">
        <v>0</v>
      </c>
      <c r="BH13" s="149" t="n">
        <v>0</v>
      </c>
      <c r="BI13" s="149"/>
    </row>
    <row r="14" customFormat="false" ht="15" hidden="false" customHeight="true" outlineLevel="0" collapsed="false">
      <c r="A14" s="149" t="s">
        <v>280</v>
      </c>
      <c r="B14" s="149" t="s">
        <v>22</v>
      </c>
      <c r="C14" s="149" t="n">
        <v>2</v>
      </c>
      <c r="D14" s="149" t="n">
        <v>0</v>
      </c>
      <c r="E14" s="149" t="n">
        <v>0</v>
      </c>
      <c r="F14" s="149" t="s">
        <v>22</v>
      </c>
      <c r="G14" s="149" t="s">
        <v>213</v>
      </c>
      <c r="H14" s="149" t="n">
        <v>16</v>
      </c>
      <c r="I14" s="149" t="s">
        <v>176</v>
      </c>
      <c r="J14" s="149" t="s">
        <v>409</v>
      </c>
      <c r="K14" s="149"/>
      <c r="L14" s="149"/>
      <c r="M14" s="149"/>
      <c r="N14" s="149" t="s">
        <v>176</v>
      </c>
      <c r="O14" s="149" t="s">
        <v>447</v>
      </c>
      <c r="P14" s="149" t="n">
        <v>1</v>
      </c>
      <c r="Q14" s="149" t="s">
        <v>202</v>
      </c>
      <c r="R14" s="149" t="n">
        <v>20</v>
      </c>
      <c r="S14" s="149" t="n">
        <v>0.5</v>
      </c>
      <c r="T14" s="149" t="n">
        <v>0</v>
      </c>
      <c r="U14" s="149" t="n">
        <v>0</v>
      </c>
      <c r="V14" s="149" t="n">
        <v>0</v>
      </c>
      <c r="W14" s="149" t="n">
        <v>0</v>
      </c>
      <c r="X14" s="149" t="n">
        <v>0</v>
      </c>
      <c r="Y14" s="149" t="n">
        <v>0</v>
      </c>
      <c r="Z14" s="149" t="n">
        <v>0</v>
      </c>
      <c r="AA14" s="149" t="n">
        <v>5</v>
      </c>
      <c r="AB14" s="149" t="n">
        <v>3</v>
      </c>
      <c r="AC14" s="149" t="n">
        <v>0</v>
      </c>
      <c r="AD14" s="149" t="n">
        <v>2</v>
      </c>
      <c r="AE14" s="149" t="n">
        <v>0</v>
      </c>
      <c r="AF14" s="149" t="n">
        <v>0</v>
      </c>
      <c r="AG14" s="149" t="n">
        <v>0</v>
      </c>
      <c r="AH14" s="149"/>
      <c r="AI14" s="149"/>
      <c r="AJ14" s="149"/>
      <c r="AK14" s="149"/>
      <c r="AL14" s="149"/>
      <c r="AM14" s="149"/>
      <c r="AN14" s="149"/>
      <c r="AO14" s="149"/>
      <c r="AP14" s="149" t="n">
        <v>3</v>
      </c>
      <c r="AQ14" s="149" t="n">
        <v>4</v>
      </c>
      <c r="AR14" s="149" t="n">
        <v>11</v>
      </c>
      <c r="AS14" s="149" t="n">
        <v>0</v>
      </c>
      <c r="AT14" s="149" t="n">
        <v>3</v>
      </c>
      <c r="AU14" s="149" t="n">
        <v>3</v>
      </c>
      <c r="AV14" s="149"/>
      <c r="AW14" s="149"/>
      <c r="AX14" s="149"/>
      <c r="AY14" s="149" t="n">
        <v>0</v>
      </c>
      <c r="AZ14" s="149" t="n">
        <v>0</v>
      </c>
      <c r="BA14" s="149" t="n">
        <v>0</v>
      </c>
      <c r="BB14" s="149" t="n">
        <v>0</v>
      </c>
      <c r="BC14" s="149" t="n">
        <v>0</v>
      </c>
      <c r="BD14" s="149" t="n">
        <v>10</v>
      </c>
      <c r="BE14" s="149" t="n">
        <v>8</v>
      </c>
      <c r="BF14" s="149" t="n">
        <v>6</v>
      </c>
      <c r="BG14" s="149" t="n">
        <v>14</v>
      </c>
      <c r="BH14" s="149" t="n">
        <v>3</v>
      </c>
      <c r="BI14" s="149" t="n">
        <v>0.8235</v>
      </c>
    </row>
    <row r="15" customFormat="false" ht="15" hidden="false" customHeight="true" outlineLevel="0" collapsed="false">
      <c r="A15" s="149" t="s">
        <v>280</v>
      </c>
      <c r="B15" s="149" t="s">
        <v>22</v>
      </c>
      <c r="C15" s="149" t="n">
        <v>2</v>
      </c>
      <c r="D15" s="149" t="n">
        <v>0</v>
      </c>
      <c r="E15" s="149" t="n">
        <v>0</v>
      </c>
      <c r="F15" s="149" t="s">
        <v>22</v>
      </c>
      <c r="G15" s="149" t="s">
        <v>25</v>
      </c>
      <c r="H15" s="149" t="n">
        <v>11</v>
      </c>
      <c r="I15" s="149" t="s">
        <v>113</v>
      </c>
      <c r="J15" s="149" t="s">
        <v>410</v>
      </c>
      <c r="K15" s="149"/>
      <c r="L15" s="149"/>
      <c r="M15" s="149"/>
      <c r="N15" s="149" t="s">
        <v>108</v>
      </c>
      <c r="O15" s="149" t="s">
        <v>447</v>
      </c>
      <c r="P15" s="149" t="n">
        <v>12</v>
      </c>
      <c r="Q15" s="149" t="s">
        <v>206</v>
      </c>
      <c r="R15" s="149" t="n">
        <v>15.6667</v>
      </c>
      <c r="S15" s="149" t="n">
        <v>0.39</v>
      </c>
      <c r="T15" s="149" t="n">
        <v>0</v>
      </c>
      <c r="U15" s="149" t="n">
        <v>0</v>
      </c>
      <c r="V15" s="149" t="n">
        <v>7</v>
      </c>
      <c r="W15" s="149" t="n">
        <v>3</v>
      </c>
      <c r="X15" s="149" t="n">
        <v>0</v>
      </c>
      <c r="Y15" s="149" t="n">
        <v>4</v>
      </c>
      <c r="Z15" s="149" t="n">
        <v>0</v>
      </c>
      <c r="AA15" s="149" t="n">
        <v>10</v>
      </c>
      <c r="AB15" s="149" t="n">
        <v>9</v>
      </c>
      <c r="AC15" s="149" t="n">
        <v>0</v>
      </c>
      <c r="AD15" s="149" t="n">
        <v>1</v>
      </c>
      <c r="AE15" s="149" t="n">
        <v>0</v>
      </c>
      <c r="AF15" s="149" t="n">
        <v>0</v>
      </c>
      <c r="AG15" s="149" t="n">
        <v>0</v>
      </c>
      <c r="AH15" s="149" t="n">
        <v>0</v>
      </c>
      <c r="AI15" s="149" t="n">
        <v>0</v>
      </c>
      <c r="AJ15" s="149" t="n">
        <v>1</v>
      </c>
      <c r="AK15" s="149" t="n">
        <v>2</v>
      </c>
      <c r="AL15" s="149" t="n">
        <v>3</v>
      </c>
      <c r="AM15" s="149" t="n">
        <v>1</v>
      </c>
      <c r="AN15" s="149" t="n">
        <v>2</v>
      </c>
      <c r="AO15" s="149" t="n">
        <v>1</v>
      </c>
      <c r="AP15" s="149"/>
      <c r="AQ15" s="149"/>
      <c r="AR15" s="149"/>
      <c r="AS15" s="149"/>
      <c r="AT15" s="149"/>
      <c r="AU15" s="149"/>
      <c r="AV15" s="149" t="n">
        <v>0.4286</v>
      </c>
      <c r="AW15" s="149"/>
      <c r="AX15" s="149" t="n">
        <v>0.5</v>
      </c>
      <c r="AY15" s="149" t="n">
        <v>0</v>
      </c>
      <c r="AZ15" s="149" t="n">
        <v>0</v>
      </c>
      <c r="BA15" s="149" t="n">
        <v>17.8723</v>
      </c>
      <c r="BB15" s="149" t="n">
        <v>5.1064</v>
      </c>
      <c r="BC15" s="149" t="n">
        <v>2.5532</v>
      </c>
      <c r="BD15" s="149" t="n">
        <v>25.5319</v>
      </c>
      <c r="BE15" s="149" t="n">
        <v>0</v>
      </c>
      <c r="BF15" s="149" t="n">
        <v>0</v>
      </c>
      <c r="BG15" s="149" t="n">
        <v>0</v>
      </c>
      <c r="BH15" s="149" t="n">
        <v>0</v>
      </c>
      <c r="BI15" s="149"/>
    </row>
    <row r="16" customFormat="false" ht="15" hidden="false" customHeight="true" outlineLevel="0" collapsed="false">
      <c r="A16" s="149" t="s">
        <v>280</v>
      </c>
      <c r="B16" s="149" t="s">
        <v>22</v>
      </c>
      <c r="C16" s="149" t="n">
        <v>2</v>
      </c>
      <c r="D16" s="149" t="n">
        <v>0</v>
      </c>
      <c r="E16" s="149" t="n">
        <v>0</v>
      </c>
      <c r="F16" s="149" t="s">
        <v>22</v>
      </c>
      <c r="G16" s="149" t="s">
        <v>118</v>
      </c>
      <c r="H16" s="149" t="n">
        <v>2</v>
      </c>
      <c r="I16" s="149" t="s">
        <v>113</v>
      </c>
      <c r="J16" s="149" t="s">
        <v>409</v>
      </c>
      <c r="K16" s="149"/>
      <c r="L16" s="149"/>
      <c r="M16" s="149"/>
      <c r="N16" s="149" t="s">
        <v>108</v>
      </c>
      <c r="O16" s="149" t="s">
        <v>447</v>
      </c>
      <c r="P16" s="149" t="n">
        <v>3</v>
      </c>
      <c r="Q16" s="149" t="s">
        <v>210</v>
      </c>
      <c r="R16" s="149" t="n">
        <v>10</v>
      </c>
      <c r="S16" s="149" t="n">
        <v>0.25</v>
      </c>
      <c r="T16" s="149" t="n">
        <v>0</v>
      </c>
      <c r="U16" s="149" t="n">
        <v>0</v>
      </c>
      <c r="V16" s="149" t="n">
        <v>4</v>
      </c>
      <c r="W16" s="149" t="n">
        <v>2</v>
      </c>
      <c r="X16" s="149" t="n">
        <v>1</v>
      </c>
      <c r="Y16" s="149" t="n">
        <v>1</v>
      </c>
      <c r="Z16" s="149" t="n">
        <v>0</v>
      </c>
      <c r="AA16" s="149" t="n">
        <v>2</v>
      </c>
      <c r="AB16" s="149" t="n">
        <v>1</v>
      </c>
      <c r="AC16" s="149" t="n">
        <v>0</v>
      </c>
      <c r="AD16" s="149" t="n">
        <v>0</v>
      </c>
      <c r="AE16" s="149" t="n">
        <v>1</v>
      </c>
      <c r="AF16" s="149" t="n">
        <v>0</v>
      </c>
      <c r="AG16" s="149" t="n">
        <v>0</v>
      </c>
      <c r="AH16" s="149" t="n">
        <v>2</v>
      </c>
      <c r="AI16" s="149" t="n">
        <v>4</v>
      </c>
      <c r="AJ16" s="149" t="n">
        <v>0</v>
      </c>
      <c r="AK16" s="149" t="n">
        <v>2</v>
      </c>
      <c r="AL16" s="149" t="n">
        <v>0</v>
      </c>
      <c r="AM16" s="149" t="n">
        <v>1</v>
      </c>
      <c r="AN16" s="149" t="n">
        <v>1</v>
      </c>
      <c r="AO16" s="149" t="n">
        <v>0</v>
      </c>
      <c r="AP16" s="149"/>
      <c r="AQ16" s="149"/>
      <c r="AR16" s="149"/>
      <c r="AS16" s="149"/>
      <c r="AT16" s="149"/>
      <c r="AU16" s="149"/>
      <c r="AV16" s="149" t="n">
        <v>0.5</v>
      </c>
      <c r="AW16" s="149" t="n">
        <v>0.5</v>
      </c>
      <c r="AX16" s="149" t="n">
        <v>0</v>
      </c>
      <c r="AY16" s="149" t="n">
        <v>0</v>
      </c>
      <c r="AZ16" s="149" t="n">
        <v>0</v>
      </c>
      <c r="BA16" s="149" t="n">
        <v>16</v>
      </c>
      <c r="BB16" s="149" t="n">
        <v>4</v>
      </c>
      <c r="BC16" s="149" t="n">
        <v>0</v>
      </c>
      <c r="BD16" s="149" t="n">
        <v>8</v>
      </c>
      <c r="BE16" s="149" t="n">
        <v>0</v>
      </c>
      <c r="BF16" s="149" t="n">
        <v>0</v>
      </c>
      <c r="BG16" s="149" t="n">
        <v>0</v>
      </c>
      <c r="BH16" s="149" t="n">
        <v>0</v>
      </c>
      <c r="BI16" s="149"/>
    </row>
    <row r="17" customFormat="false" ht="15" hidden="false" customHeight="true" outlineLevel="0" collapsed="false">
      <c r="A17" s="149" t="s">
        <v>280</v>
      </c>
      <c r="B17" s="149" t="s">
        <v>22</v>
      </c>
      <c r="C17" s="149" t="n">
        <v>2</v>
      </c>
      <c r="D17" s="149" t="n">
        <v>0</v>
      </c>
      <c r="E17" s="149" t="n">
        <v>0</v>
      </c>
      <c r="F17" s="149" t="s">
        <v>22</v>
      </c>
      <c r="G17" s="149" t="s">
        <v>40</v>
      </c>
      <c r="H17" s="149" t="n">
        <v>10</v>
      </c>
      <c r="I17" s="149" t="s">
        <v>114</v>
      </c>
      <c r="J17" s="149" t="s">
        <v>409</v>
      </c>
      <c r="K17" s="149"/>
      <c r="L17" s="149"/>
      <c r="M17" s="149"/>
      <c r="N17" s="149" t="s">
        <v>108</v>
      </c>
      <c r="O17" s="149" t="s">
        <v>447</v>
      </c>
      <c r="P17" s="149" t="n">
        <v>11</v>
      </c>
      <c r="Q17" s="149" t="s">
        <v>205</v>
      </c>
      <c r="R17" s="149" t="n">
        <v>16.5</v>
      </c>
      <c r="S17" s="149" t="n">
        <v>0.41</v>
      </c>
      <c r="T17" s="149" t="n">
        <v>0</v>
      </c>
      <c r="U17" s="149" t="n">
        <v>0</v>
      </c>
      <c r="V17" s="149" t="n">
        <v>2</v>
      </c>
      <c r="W17" s="149" t="n">
        <v>1</v>
      </c>
      <c r="X17" s="149" t="n">
        <v>0</v>
      </c>
      <c r="Y17" s="149" t="n">
        <v>1</v>
      </c>
      <c r="Z17" s="149" t="n">
        <v>0</v>
      </c>
      <c r="AA17" s="149" t="n">
        <v>4</v>
      </c>
      <c r="AB17" s="149" t="n">
        <v>2</v>
      </c>
      <c r="AC17" s="149" t="n">
        <v>0</v>
      </c>
      <c r="AD17" s="149" t="n">
        <v>0</v>
      </c>
      <c r="AE17" s="149" t="n">
        <v>1</v>
      </c>
      <c r="AF17" s="149" t="n">
        <v>1</v>
      </c>
      <c r="AG17" s="149" t="n">
        <v>0</v>
      </c>
      <c r="AH17" s="149" t="n">
        <v>0</v>
      </c>
      <c r="AI17" s="149" t="n">
        <v>2</v>
      </c>
      <c r="AJ17" s="149" t="n">
        <v>0</v>
      </c>
      <c r="AK17" s="149" t="n">
        <v>0</v>
      </c>
      <c r="AL17" s="149" t="n">
        <v>3</v>
      </c>
      <c r="AM17" s="149" t="n">
        <v>1</v>
      </c>
      <c r="AN17" s="149" t="n">
        <v>3</v>
      </c>
      <c r="AO17" s="149" t="n">
        <v>2</v>
      </c>
      <c r="AP17" s="149"/>
      <c r="AQ17" s="149"/>
      <c r="AR17" s="149"/>
      <c r="AS17" s="149"/>
      <c r="AT17" s="149"/>
      <c r="AU17" s="149"/>
      <c r="AV17" s="149" t="n">
        <v>0.5</v>
      </c>
      <c r="AW17" s="149" t="n">
        <v>0</v>
      </c>
      <c r="AX17" s="149"/>
      <c r="AY17" s="149" t="n">
        <v>0</v>
      </c>
      <c r="AZ17" s="149" t="n">
        <v>0</v>
      </c>
      <c r="BA17" s="149" t="n">
        <v>4.8485</v>
      </c>
      <c r="BB17" s="149" t="n">
        <v>7.2727</v>
      </c>
      <c r="BC17" s="149" t="n">
        <v>4.8485</v>
      </c>
      <c r="BD17" s="149" t="n">
        <v>9.697</v>
      </c>
      <c r="BE17" s="149" t="n">
        <v>0</v>
      </c>
      <c r="BF17" s="149" t="n">
        <v>0</v>
      </c>
      <c r="BG17" s="149" t="n">
        <v>0</v>
      </c>
      <c r="BH17" s="149" t="n">
        <v>0</v>
      </c>
      <c r="BI17" s="149"/>
    </row>
    <row r="18" customFormat="false" ht="15" hidden="false" customHeight="true" outlineLevel="0" collapsed="false">
      <c r="A18" s="149" t="s">
        <v>280</v>
      </c>
      <c r="B18" s="149" t="s">
        <v>22</v>
      </c>
      <c r="C18" s="149" t="n">
        <v>2</v>
      </c>
      <c r="D18" s="149" t="n">
        <v>0</v>
      </c>
      <c r="E18" s="149" t="n">
        <v>0</v>
      </c>
      <c r="F18" s="149" t="s">
        <v>22</v>
      </c>
      <c r="G18" s="149" t="s">
        <v>214</v>
      </c>
      <c r="H18" s="149" t="n">
        <v>12</v>
      </c>
      <c r="I18" s="149" t="s">
        <v>176</v>
      </c>
      <c r="J18" s="149" t="s">
        <v>409</v>
      </c>
      <c r="K18" s="149"/>
      <c r="L18" s="149"/>
      <c r="M18" s="149"/>
      <c r="N18" s="149" t="s">
        <v>176</v>
      </c>
      <c r="O18" s="149" t="s">
        <v>447</v>
      </c>
      <c r="P18" s="149" t="n">
        <v>2</v>
      </c>
      <c r="Q18" s="149" t="s">
        <v>202</v>
      </c>
      <c r="R18" s="149" t="n">
        <v>20</v>
      </c>
      <c r="S18" s="149" t="n">
        <v>0.5</v>
      </c>
      <c r="T18" s="149" t="n">
        <v>0</v>
      </c>
      <c r="U18" s="149" t="n">
        <v>0</v>
      </c>
      <c r="V18" s="149" t="n">
        <v>0</v>
      </c>
      <c r="W18" s="149" t="n">
        <v>0</v>
      </c>
      <c r="X18" s="149" t="n">
        <v>0</v>
      </c>
      <c r="Y18" s="149" t="n">
        <v>0</v>
      </c>
      <c r="Z18" s="149" t="n">
        <v>0</v>
      </c>
      <c r="AA18" s="149" t="n">
        <v>0</v>
      </c>
      <c r="AB18" s="149" t="n">
        <v>0</v>
      </c>
      <c r="AC18" s="149" t="n">
        <v>0</v>
      </c>
      <c r="AD18" s="149" t="n">
        <v>0</v>
      </c>
      <c r="AE18" s="149" t="n">
        <v>0</v>
      </c>
      <c r="AF18" s="149" t="n">
        <v>0</v>
      </c>
      <c r="AG18" s="149" t="n">
        <v>0</v>
      </c>
      <c r="AH18" s="149"/>
      <c r="AI18" s="149"/>
      <c r="AJ18" s="149"/>
      <c r="AK18" s="149"/>
      <c r="AL18" s="149"/>
      <c r="AM18" s="149"/>
      <c r="AN18" s="149"/>
      <c r="AO18" s="149"/>
      <c r="AP18" s="149" t="n">
        <v>0</v>
      </c>
      <c r="AQ18" s="149" t="n">
        <v>2</v>
      </c>
      <c r="AR18" s="149" t="n">
        <v>10</v>
      </c>
      <c r="AS18" s="149" t="n">
        <v>0</v>
      </c>
      <c r="AT18" s="149" t="n">
        <v>1</v>
      </c>
      <c r="AU18" s="149" t="n">
        <v>0</v>
      </c>
      <c r="AV18" s="149"/>
      <c r="AW18" s="149"/>
      <c r="AX18" s="149"/>
      <c r="AY18" s="149" t="n">
        <v>0</v>
      </c>
      <c r="AZ18" s="149" t="n">
        <v>0</v>
      </c>
      <c r="BA18" s="149" t="n">
        <v>0</v>
      </c>
      <c r="BB18" s="149" t="n">
        <v>0</v>
      </c>
      <c r="BC18" s="149" t="n">
        <v>0</v>
      </c>
      <c r="BD18" s="149" t="n">
        <v>0</v>
      </c>
      <c r="BE18" s="149" t="n">
        <v>4</v>
      </c>
      <c r="BF18" s="149" t="n">
        <v>0</v>
      </c>
      <c r="BG18" s="149" t="n">
        <v>11</v>
      </c>
      <c r="BH18" s="149" t="n">
        <v>0</v>
      </c>
      <c r="BI18" s="149" t="n">
        <v>1</v>
      </c>
    </row>
    <row r="19" customFormat="false" ht="15" hidden="false" customHeight="true" outlineLevel="0" collapsed="false">
      <c r="A19" s="149" t="s">
        <v>280</v>
      </c>
      <c r="B19" s="149" t="s">
        <v>22</v>
      </c>
      <c r="C19" s="149" t="n">
        <v>2</v>
      </c>
      <c r="D19" s="149" t="n">
        <v>0</v>
      </c>
      <c r="E19" s="149" t="n">
        <v>0</v>
      </c>
      <c r="F19" s="149" t="s">
        <v>22</v>
      </c>
      <c r="G19" s="149" t="s">
        <v>120</v>
      </c>
      <c r="H19" s="149" t="n">
        <v>7</v>
      </c>
      <c r="I19" s="149" t="s">
        <v>114</v>
      </c>
      <c r="J19" s="149" t="s">
        <v>409</v>
      </c>
      <c r="K19" s="149"/>
      <c r="L19" s="149"/>
      <c r="M19" s="149"/>
      <c r="N19" s="149" t="s">
        <v>108</v>
      </c>
      <c r="O19" s="149" t="s">
        <v>447</v>
      </c>
      <c r="P19" s="149" t="n">
        <v>8</v>
      </c>
      <c r="Q19" s="149" t="s">
        <v>171</v>
      </c>
      <c r="R19" s="149" t="n">
        <v>12</v>
      </c>
      <c r="S19" s="149" t="n">
        <v>0.3</v>
      </c>
      <c r="T19" s="149" t="n">
        <v>0</v>
      </c>
      <c r="U19" s="149" t="n">
        <v>0</v>
      </c>
      <c r="V19" s="149" t="n">
        <v>3</v>
      </c>
      <c r="W19" s="149" t="n">
        <v>2</v>
      </c>
      <c r="X19" s="149" t="n">
        <v>1</v>
      </c>
      <c r="Y19" s="149" t="n">
        <v>0</v>
      </c>
      <c r="Z19" s="149" t="n">
        <v>0</v>
      </c>
      <c r="AA19" s="149" t="n">
        <v>1</v>
      </c>
      <c r="AB19" s="149" t="n">
        <v>1</v>
      </c>
      <c r="AC19" s="149" t="n">
        <v>0</v>
      </c>
      <c r="AD19" s="149" t="n">
        <v>0</v>
      </c>
      <c r="AE19" s="149" t="n">
        <v>0</v>
      </c>
      <c r="AF19" s="149" t="n">
        <v>0</v>
      </c>
      <c r="AG19" s="149" t="n">
        <v>0</v>
      </c>
      <c r="AH19" s="149" t="n">
        <v>0</v>
      </c>
      <c r="AI19" s="149" t="n">
        <v>0</v>
      </c>
      <c r="AJ19" s="149" t="n">
        <v>0</v>
      </c>
      <c r="AK19" s="149" t="n">
        <v>0</v>
      </c>
      <c r="AL19" s="149" t="n">
        <v>1</v>
      </c>
      <c r="AM19" s="149" t="n">
        <v>0</v>
      </c>
      <c r="AN19" s="149" t="n">
        <v>1</v>
      </c>
      <c r="AO19" s="149" t="n">
        <v>1</v>
      </c>
      <c r="AP19" s="149"/>
      <c r="AQ19" s="149"/>
      <c r="AR19" s="149"/>
      <c r="AS19" s="149"/>
      <c r="AT19" s="149"/>
      <c r="AU19" s="149"/>
      <c r="AV19" s="149" t="n">
        <v>0.6667</v>
      </c>
      <c r="AW19" s="149"/>
      <c r="AX19" s="149"/>
      <c r="AY19" s="149" t="n">
        <v>0</v>
      </c>
      <c r="AZ19" s="149" t="n">
        <v>0</v>
      </c>
      <c r="BA19" s="149" t="n">
        <v>10</v>
      </c>
      <c r="BB19" s="149" t="n">
        <v>3.3333</v>
      </c>
      <c r="BC19" s="149" t="n">
        <v>3.3333</v>
      </c>
      <c r="BD19" s="149" t="n">
        <v>3.3333</v>
      </c>
      <c r="BE19" s="149" t="n">
        <v>0</v>
      </c>
      <c r="BF19" s="149" t="n">
        <v>0</v>
      </c>
      <c r="BG19" s="149" t="n">
        <v>0</v>
      </c>
      <c r="BH19" s="149" t="n">
        <v>0</v>
      </c>
      <c r="BI19" s="149"/>
    </row>
    <row r="20" customFormat="false" ht="15" hidden="false" customHeight="true" outlineLevel="0" collapsed="false">
      <c r="A20" s="149" t="s">
        <v>280</v>
      </c>
      <c r="B20" s="149" t="s">
        <v>22</v>
      </c>
      <c r="C20" s="149" t="n">
        <v>2</v>
      </c>
      <c r="D20" s="149" t="n">
        <v>0</v>
      </c>
      <c r="E20" s="149" t="n">
        <v>0</v>
      </c>
      <c r="F20" s="149" t="s">
        <v>22</v>
      </c>
      <c r="G20" s="149" t="s">
        <v>24</v>
      </c>
      <c r="H20" s="149" t="n">
        <v>8</v>
      </c>
      <c r="I20" s="149" t="s">
        <v>112</v>
      </c>
      <c r="J20" s="149" t="s">
        <v>409</v>
      </c>
      <c r="K20" s="149"/>
      <c r="L20" s="149"/>
      <c r="M20" s="149"/>
      <c r="N20" s="149" t="s">
        <v>108</v>
      </c>
      <c r="O20" s="149" t="s">
        <v>447</v>
      </c>
      <c r="P20" s="149" t="n">
        <v>9</v>
      </c>
      <c r="Q20" s="149" t="s">
        <v>182</v>
      </c>
      <c r="R20" s="149" t="n">
        <v>18.5</v>
      </c>
      <c r="S20" s="149" t="n">
        <v>0.46</v>
      </c>
      <c r="T20" s="149" t="n">
        <v>0</v>
      </c>
      <c r="U20" s="149" t="n">
        <v>1</v>
      </c>
      <c r="V20" s="149" t="n">
        <v>5</v>
      </c>
      <c r="W20" s="149" t="n">
        <v>2</v>
      </c>
      <c r="X20" s="149" t="n">
        <v>2</v>
      </c>
      <c r="Y20" s="149" t="n">
        <v>1</v>
      </c>
      <c r="Z20" s="149" t="n">
        <v>0</v>
      </c>
      <c r="AA20" s="149" t="n">
        <v>11</v>
      </c>
      <c r="AB20" s="149" t="n">
        <v>2</v>
      </c>
      <c r="AC20" s="149" t="n">
        <v>0</v>
      </c>
      <c r="AD20" s="149" t="n">
        <v>4</v>
      </c>
      <c r="AE20" s="149" t="n">
        <v>0</v>
      </c>
      <c r="AF20" s="149" t="n">
        <v>4</v>
      </c>
      <c r="AG20" s="149" t="n">
        <v>1</v>
      </c>
      <c r="AH20" s="149" t="n">
        <v>1</v>
      </c>
      <c r="AI20" s="149" t="n">
        <v>1</v>
      </c>
      <c r="AJ20" s="149" t="n">
        <v>2</v>
      </c>
      <c r="AK20" s="149" t="n">
        <v>2</v>
      </c>
      <c r="AL20" s="149" t="n">
        <v>0</v>
      </c>
      <c r="AM20" s="149" t="n">
        <v>0</v>
      </c>
      <c r="AN20" s="149" t="n">
        <v>2</v>
      </c>
      <c r="AO20" s="149" t="n">
        <v>1</v>
      </c>
      <c r="AP20" s="149"/>
      <c r="AQ20" s="149"/>
      <c r="AR20" s="149"/>
      <c r="AS20" s="149"/>
      <c r="AT20" s="149"/>
      <c r="AU20" s="149"/>
      <c r="AV20" s="149" t="n">
        <v>0.4</v>
      </c>
      <c r="AW20" s="149" t="n">
        <v>1</v>
      </c>
      <c r="AX20" s="149" t="n">
        <v>1</v>
      </c>
      <c r="AY20" s="149" t="n">
        <v>0</v>
      </c>
      <c r="AZ20" s="149" t="n">
        <v>2.1622</v>
      </c>
      <c r="BA20" s="149" t="n">
        <v>10.8108</v>
      </c>
      <c r="BB20" s="149" t="n">
        <v>4.3243</v>
      </c>
      <c r="BC20" s="149" t="n">
        <v>2.1622</v>
      </c>
      <c r="BD20" s="149" t="n">
        <v>23.7838</v>
      </c>
      <c r="BE20" s="149" t="n">
        <v>0</v>
      </c>
      <c r="BF20" s="149" t="n">
        <v>0</v>
      </c>
      <c r="BG20" s="149" t="n">
        <v>0</v>
      </c>
      <c r="BH20" s="149" t="n">
        <v>0</v>
      </c>
      <c r="BI20" s="149"/>
    </row>
    <row r="21" customFormat="false" ht="15" hidden="false" customHeight="true" outlineLevel="0" collapsed="false">
      <c r="A21" s="149" t="s">
        <v>280</v>
      </c>
      <c r="B21" s="149" t="s">
        <v>22</v>
      </c>
      <c r="C21" s="149" t="n">
        <v>2</v>
      </c>
      <c r="D21" s="149" t="n">
        <v>0</v>
      </c>
      <c r="E21" s="149" t="n">
        <v>0</v>
      </c>
      <c r="F21" s="149" t="s">
        <v>22</v>
      </c>
      <c r="G21" s="149" t="s">
        <v>27</v>
      </c>
      <c r="H21" s="149" t="n">
        <v>9</v>
      </c>
      <c r="I21" s="149" t="s">
        <v>113</v>
      </c>
      <c r="J21" s="149" t="s">
        <v>409</v>
      </c>
      <c r="K21" s="149"/>
      <c r="L21" s="149"/>
      <c r="M21" s="149"/>
      <c r="N21" s="149" t="s">
        <v>108</v>
      </c>
      <c r="O21" s="149" t="s">
        <v>447</v>
      </c>
      <c r="P21" s="149" t="n">
        <v>10</v>
      </c>
      <c r="Q21" s="149" t="s">
        <v>204</v>
      </c>
      <c r="R21" s="149" t="n">
        <v>18</v>
      </c>
      <c r="S21" s="149" t="n">
        <v>0.45</v>
      </c>
      <c r="T21" s="149" t="n">
        <v>2</v>
      </c>
      <c r="U21" s="149" t="n">
        <v>0</v>
      </c>
      <c r="V21" s="149" t="n">
        <v>15</v>
      </c>
      <c r="W21" s="149" t="n">
        <v>8</v>
      </c>
      <c r="X21" s="149" t="n">
        <v>3</v>
      </c>
      <c r="Y21" s="149" t="n">
        <v>4</v>
      </c>
      <c r="Z21" s="149" t="n">
        <v>0</v>
      </c>
      <c r="AA21" s="149" t="n">
        <v>9</v>
      </c>
      <c r="AB21" s="149" t="n">
        <v>2</v>
      </c>
      <c r="AC21" s="149" t="n">
        <v>0</v>
      </c>
      <c r="AD21" s="149" t="n">
        <v>0</v>
      </c>
      <c r="AE21" s="149" t="n">
        <v>1</v>
      </c>
      <c r="AF21" s="149" t="n">
        <v>5</v>
      </c>
      <c r="AG21" s="149" t="n">
        <v>1</v>
      </c>
      <c r="AH21" s="149" t="n">
        <v>3</v>
      </c>
      <c r="AI21" s="149" t="n">
        <v>4</v>
      </c>
      <c r="AJ21" s="149" t="n">
        <v>0</v>
      </c>
      <c r="AK21" s="149" t="n">
        <v>0</v>
      </c>
      <c r="AL21" s="149" t="n">
        <v>2</v>
      </c>
      <c r="AM21" s="149" t="n">
        <v>2</v>
      </c>
      <c r="AN21" s="149" t="n">
        <v>2</v>
      </c>
      <c r="AO21" s="149" t="n">
        <v>1</v>
      </c>
      <c r="AP21" s="149"/>
      <c r="AQ21" s="149"/>
      <c r="AR21" s="149"/>
      <c r="AS21" s="149"/>
      <c r="AT21" s="149"/>
      <c r="AU21" s="149"/>
      <c r="AV21" s="149" t="n">
        <v>0.5333</v>
      </c>
      <c r="AW21" s="149" t="n">
        <v>0.75</v>
      </c>
      <c r="AX21" s="149"/>
      <c r="AY21" s="149" t="n">
        <v>4.4444</v>
      </c>
      <c r="AZ21" s="149" t="n">
        <v>0</v>
      </c>
      <c r="BA21" s="149" t="n">
        <v>33.3333</v>
      </c>
      <c r="BB21" s="149" t="n">
        <v>4.4444</v>
      </c>
      <c r="BC21" s="149" t="n">
        <v>2.2222</v>
      </c>
      <c r="BD21" s="149" t="n">
        <v>20</v>
      </c>
      <c r="BE21" s="149" t="n">
        <v>0</v>
      </c>
      <c r="BF21" s="149" t="n">
        <v>0</v>
      </c>
      <c r="BG21" s="149" t="n">
        <v>0</v>
      </c>
      <c r="BH21" s="149" t="n">
        <v>0</v>
      </c>
      <c r="BI21" s="149"/>
    </row>
    <row r="22" customFormat="false" ht="15" hidden="false" customHeight="true" outlineLevel="0" collapsed="false">
      <c r="A22" s="149" t="s">
        <v>280</v>
      </c>
      <c r="B22" s="149" t="s">
        <v>22</v>
      </c>
      <c r="C22" s="149" t="n">
        <v>2</v>
      </c>
      <c r="D22" s="149" t="n">
        <v>0</v>
      </c>
      <c r="E22" s="149" t="n">
        <v>0</v>
      </c>
      <c r="F22" s="149" t="s">
        <v>22</v>
      </c>
      <c r="G22" s="149" t="s">
        <v>126</v>
      </c>
      <c r="H22" s="149" t="n">
        <v>13</v>
      </c>
      <c r="I22" s="149" t="s">
        <v>116</v>
      </c>
      <c r="J22" s="149" t="s">
        <v>409</v>
      </c>
      <c r="K22" s="149"/>
      <c r="L22" s="149"/>
      <c r="M22" s="149"/>
      <c r="N22" s="149" t="s">
        <v>108</v>
      </c>
      <c r="O22" s="149" t="s">
        <v>447</v>
      </c>
      <c r="P22" s="149" t="n">
        <v>13</v>
      </c>
      <c r="Q22" s="149" t="s">
        <v>208</v>
      </c>
      <c r="R22" s="149" t="n">
        <v>10.8333</v>
      </c>
      <c r="S22" s="149" t="n">
        <v>0.27</v>
      </c>
      <c r="T22" s="149" t="n">
        <v>0</v>
      </c>
      <c r="U22" s="149" t="n">
        <v>0</v>
      </c>
      <c r="V22" s="149" t="n">
        <v>5</v>
      </c>
      <c r="W22" s="149" t="n">
        <v>1</v>
      </c>
      <c r="X22" s="149" t="n">
        <v>2</v>
      </c>
      <c r="Y22" s="149" t="n">
        <v>2</v>
      </c>
      <c r="Z22" s="149" t="n">
        <v>0</v>
      </c>
      <c r="AA22" s="149" t="n">
        <v>2</v>
      </c>
      <c r="AB22" s="149" t="n">
        <v>0</v>
      </c>
      <c r="AC22" s="149" t="n">
        <v>0</v>
      </c>
      <c r="AD22" s="149" t="n">
        <v>1</v>
      </c>
      <c r="AE22" s="149" t="n">
        <v>0</v>
      </c>
      <c r="AF22" s="149" t="n">
        <v>0</v>
      </c>
      <c r="AG22" s="149" t="n">
        <v>1</v>
      </c>
      <c r="AH22" s="149" t="n">
        <v>0</v>
      </c>
      <c r="AI22" s="149" t="n">
        <v>0</v>
      </c>
      <c r="AJ22" s="149" t="n">
        <v>0</v>
      </c>
      <c r="AK22" s="149" t="n">
        <v>0</v>
      </c>
      <c r="AL22" s="149" t="n">
        <v>2</v>
      </c>
      <c r="AM22" s="149" t="n">
        <v>0</v>
      </c>
      <c r="AN22" s="149" t="n">
        <v>0</v>
      </c>
      <c r="AO22" s="149" t="n">
        <v>0</v>
      </c>
      <c r="AP22" s="149"/>
      <c r="AQ22" s="149"/>
      <c r="AR22" s="149"/>
      <c r="AS22" s="149"/>
      <c r="AT22" s="149"/>
      <c r="AU22" s="149"/>
      <c r="AV22" s="149" t="n">
        <v>0.2</v>
      </c>
      <c r="AW22" s="149"/>
      <c r="AX22" s="149"/>
      <c r="AY22" s="149" t="n">
        <v>0</v>
      </c>
      <c r="AZ22" s="149" t="n">
        <v>0</v>
      </c>
      <c r="BA22" s="149" t="n">
        <v>18.4615</v>
      </c>
      <c r="BB22" s="149" t="n">
        <v>0</v>
      </c>
      <c r="BC22" s="149" t="n">
        <v>0</v>
      </c>
      <c r="BD22" s="149" t="n">
        <v>7.3846</v>
      </c>
      <c r="BE22" s="149" t="n">
        <v>0</v>
      </c>
      <c r="BF22" s="149" t="n">
        <v>0</v>
      </c>
      <c r="BG22" s="149" t="n">
        <v>0</v>
      </c>
      <c r="BH22" s="149" t="n">
        <v>0</v>
      </c>
      <c r="BI22" s="149"/>
    </row>
    <row r="23" customFormat="false" ht="15" hidden="false" customHeight="true" outlineLevel="0" collapsed="false">
      <c r="A23" s="149" t="s">
        <v>280</v>
      </c>
      <c r="B23" s="149" t="s">
        <v>22</v>
      </c>
      <c r="C23" s="149" t="n">
        <v>2</v>
      </c>
      <c r="D23" s="149" t="n">
        <v>0</v>
      </c>
      <c r="E23" s="149" t="n">
        <v>0</v>
      </c>
      <c r="F23" s="149" t="s">
        <v>22</v>
      </c>
      <c r="G23" s="149" t="s">
        <v>33</v>
      </c>
      <c r="H23" s="149" t="n">
        <v>5</v>
      </c>
      <c r="I23" s="149" t="s">
        <v>113</v>
      </c>
      <c r="J23" s="149" t="s">
        <v>409</v>
      </c>
      <c r="K23" s="149"/>
      <c r="L23" s="149"/>
      <c r="M23" s="149"/>
      <c r="N23" s="149" t="s">
        <v>108</v>
      </c>
      <c r="O23" s="149" t="s">
        <v>447</v>
      </c>
      <c r="P23" s="149" t="n">
        <v>6</v>
      </c>
      <c r="Q23" s="149" t="s">
        <v>210</v>
      </c>
      <c r="R23" s="149" t="n">
        <v>10</v>
      </c>
      <c r="S23" s="149" t="n">
        <v>0.25</v>
      </c>
      <c r="T23" s="149" t="n">
        <v>0</v>
      </c>
      <c r="U23" s="149" t="n">
        <v>0</v>
      </c>
      <c r="V23" s="149" t="n">
        <v>0</v>
      </c>
      <c r="W23" s="149" t="n">
        <v>0</v>
      </c>
      <c r="X23" s="149" t="n">
        <v>0</v>
      </c>
      <c r="Y23" s="149" t="n">
        <v>0</v>
      </c>
      <c r="Z23" s="149" t="n">
        <v>0</v>
      </c>
      <c r="AA23" s="149" t="n">
        <v>5</v>
      </c>
      <c r="AB23" s="149" t="n">
        <v>3</v>
      </c>
      <c r="AC23" s="149" t="n">
        <v>0</v>
      </c>
      <c r="AD23" s="149" t="n">
        <v>1</v>
      </c>
      <c r="AE23" s="149" t="n">
        <v>0</v>
      </c>
      <c r="AF23" s="149" t="n">
        <v>1</v>
      </c>
      <c r="AG23" s="149" t="n">
        <v>0</v>
      </c>
      <c r="AH23" s="149" t="n">
        <v>1</v>
      </c>
      <c r="AI23" s="149" t="n">
        <v>2</v>
      </c>
      <c r="AJ23" s="149" t="n">
        <v>1</v>
      </c>
      <c r="AK23" s="149" t="n">
        <v>1</v>
      </c>
      <c r="AL23" s="149" t="n">
        <v>0</v>
      </c>
      <c r="AM23" s="149" t="n">
        <v>0</v>
      </c>
      <c r="AN23" s="149" t="n">
        <v>1</v>
      </c>
      <c r="AO23" s="149" t="n">
        <v>1</v>
      </c>
      <c r="AP23" s="149"/>
      <c r="AQ23" s="149"/>
      <c r="AR23" s="149"/>
      <c r="AS23" s="149"/>
      <c r="AT23" s="149"/>
      <c r="AU23" s="149"/>
      <c r="AV23" s="149"/>
      <c r="AW23" s="149" t="n">
        <v>0.5</v>
      </c>
      <c r="AX23" s="149" t="n">
        <v>1</v>
      </c>
      <c r="AY23" s="149" t="n">
        <v>0</v>
      </c>
      <c r="AZ23" s="149" t="n">
        <v>0</v>
      </c>
      <c r="BA23" s="149" t="n">
        <v>0</v>
      </c>
      <c r="BB23" s="149" t="n">
        <v>4</v>
      </c>
      <c r="BC23" s="149" t="n">
        <v>4</v>
      </c>
      <c r="BD23" s="149" t="n">
        <v>20</v>
      </c>
      <c r="BE23" s="149" t="n">
        <v>0</v>
      </c>
      <c r="BF23" s="149" t="n">
        <v>0</v>
      </c>
      <c r="BG23" s="149" t="n">
        <v>0</v>
      </c>
      <c r="BH23" s="149" t="n">
        <v>0</v>
      </c>
      <c r="BI23" s="149"/>
    </row>
    <row r="24" customFormat="false" ht="15" hidden="false" customHeight="true" outlineLevel="0" collapsed="false">
      <c r="A24" s="149" t="s">
        <v>280</v>
      </c>
      <c r="B24" s="149" t="s">
        <v>22</v>
      </c>
      <c r="C24" s="149" t="n">
        <v>2</v>
      </c>
      <c r="D24" s="149" t="n">
        <v>0</v>
      </c>
      <c r="E24" s="149" t="n">
        <v>0</v>
      </c>
      <c r="F24" s="149" t="s">
        <v>22</v>
      </c>
      <c r="G24" s="149" t="s">
        <v>119</v>
      </c>
      <c r="H24" s="149" t="n">
        <v>6</v>
      </c>
      <c r="I24" s="149" t="s">
        <v>112</v>
      </c>
      <c r="J24" s="149" t="s">
        <v>409</v>
      </c>
      <c r="K24" s="149"/>
      <c r="L24" s="149"/>
      <c r="M24" s="149"/>
      <c r="N24" s="149" t="s">
        <v>108</v>
      </c>
      <c r="O24" s="149" t="s">
        <v>447</v>
      </c>
      <c r="P24" s="149" t="n">
        <v>7</v>
      </c>
      <c r="Q24" s="149" t="s">
        <v>212</v>
      </c>
      <c r="R24" s="149" t="n">
        <v>9.5</v>
      </c>
      <c r="S24" s="149" t="n">
        <v>0.24</v>
      </c>
      <c r="T24" s="149" t="n">
        <v>0</v>
      </c>
      <c r="U24" s="149" t="n">
        <v>0</v>
      </c>
      <c r="V24" s="149" t="n">
        <v>3</v>
      </c>
      <c r="W24" s="149" t="n">
        <v>1</v>
      </c>
      <c r="X24" s="149" t="n">
        <v>2</v>
      </c>
      <c r="Y24" s="149" t="n">
        <v>0</v>
      </c>
      <c r="Z24" s="149" t="n">
        <v>0</v>
      </c>
      <c r="AA24" s="149" t="n">
        <v>4</v>
      </c>
      <c r="AB24" s="149" t="n">
        <v>1</v>
      </c>
      <c r="AC24" s="149" t="n">
        <v>1</v>
      </c>
      <c r="AD24" s="149" t="n">
        <v>1</v>
      </c>
      <c r="AE24" s="149" t="n">
        <v>0</v>
      </c>
      <c r="AF24" s="149" t="n">
        <v>0</v>
      </c>
      <c r="AG24" s="149" t="n">
        <v>1</v>
      </c>
      <c r="AH24" s="149" t="n">
        <v>1</v>
      </c>
      <c r="AI24" s="149" t="n">
        <v>2</v>
      </c>
      <c r="AJ24" s="149" t="n">
        <v>3</v>
      </c>
      <c r="AK24" s="149" t="n">
        <v>3</v>
      </c>
      <c r="AL24" s="149" t="n">
        <v>0</v>
      </c>
      <c r="AM24" s="149" t="n">
        <v>0</v>
      </c>
      <c r="AN24" s="149" t="n">
        <v>0</v>
      </c>
      <c r="AO24" s="149" t="n">
        <v>2</v>
      </c>
      <c r="AP24" s="149"/>
      <c r="AQ24" s="149"/>
      <c r="AR24" s="149"/>
      <c r="AS24" s="149"/>
      <c r="AT24" s="149"/>
      <c r="AU24" s="149"/>
      <c r="AV24" s="149" t="n">
        <v>0.3333</v>
      </c>
      <c r="AW24" s="149" t="n">
        <v>0.5</v>
      </c>
      <c r="AX24" s="149" t="n">
        <v>1</v>
      </c>
      <c r="AY24" s="149" t="n">
        <v>0</v>
      </c>
      <c r="AZ24" s="149" t="n">
        <v>0</v>
      </c>
      <c r="BA24" s="149" t="n">
        <v>12.6316</v>
      </c>
      <c r="BB24" s="149" t="n">
        <v>0</v>
      </c>
      <c r="BC24" s="149" t="n">
        <v>8.4211</v>
      </c>
      <c r="BD24" s="149" t="n">
        <v>16.8421</v>
      </c>
      <c r="BE24" s="149" t="n">
        <v>0</v>
      </c>
      <c r="BF24" s="149" t="n">
        <v>0</v>
      </c>
      <c r="BG24" s="149" t="n">
        <v>0</v>
      </c>
      <c r="BH24" s="149" t="n">
        <v>0</v>
      </c>
      <c r="BI24" s="149"/>
    </row>
    <row r="25" customFormat="false" ht="15" hidden="false" customHeight="true" outlineLevel="0" collapsed="false">
      <c r="A25" s="149" t="s">
        <v>280</v>
      </c>
      <c r="B25" s="149" t="s">
        <v>22</v>
      </c>
      <c r="C25" s="149" t="n">
        <v>2</v>
      </c>
      <c r="D25" s="149" t="n">
        <v>0</v>
      </c>
      <c r="E25" s="149" t="n">
        <v>0</v>
      </c>
      <c r="F25" s="149" t="s">
        <v>22</v>
      </c>
      <c r="G25" s="149" t="s">
        <v>28</v>
      </c>
      <c r="H25" s="149" t="n">
        <v>3</v>
      </c>
      <c r="I25" s="149" t="s">
        <v>112</v>
      </c>
      <c r="J25" s="149" t="s">
        <v>409</v>
      </c>
      <c r="K25" s="149"/>
      <c r="L25" s="149"/>
      <c r="M25" s="149"/>
      <c r="N25" s="149" t="s">
        <v>108</v>
      </c>
      <c r="O25" s="149" t="s">
        <v>447</v>
      </c>
      <c r="P25" s="149" t="n">
        <v>4</v>
      </c>
      <c r="Q25" s="149" t="s">
        <v>209</v>
      </c>
      <c r="R25" s="149" t="n">
        <v>10.5</v>
      </c>
      <c r="S25" s="149" t="n">
        <v>0.26</v>
      </c>
      <c r="T25" s="149" t="n">
        <v>1</v>
      </c>
      <c r="U25" s="149" t="n">
        <v>0</v>
      </c>
      <c r="V25" s="149" t="n">
        <v>3</v>
      </c>
      <c r="W25" s="149" t="n">
        <v>1</v>
      </c>
      <c r="X25" s="149" t="n">
        <v>1</v>
      </c>
      <c r="Y25" s="149" t="n">
        <v>1</v>
      </c>
      <c r="Z25" s="149" t="n">
        <v>0</v>
      </c>
      <c r="AA25" s="149" t="n">
        <v>8</v>
      </c>
      <c r="AB25" s="149" t="n">
        <v>5</v>
      </c>
      <c r="AC25" s="149" t="n">
        <v>0</v>
      </c>
      <c r="AD25" s="149" t="n">
        <v>1</v>
      </c>
      <c r="AE25" s="149" t="n">
        <v>0</v>
      </c>
      <c r="AF25" s="149" t="n">
        <v>0</v>
      </c>
      <c r="AG25" s="149" t="n">
        <v>2</v>
      </c>
      <c r="AH25" s="149" t="n">
        <v>1</v>
      </c>
      <c r="AI25" s="149" t="n">
        <v>1</v>
      </c>
      <c r="AJ25" s="149" t="n">
        <v>0</v>
      </c>
      <c r="AK25" s="149" t="n">
        <v>0</v>
      </c>
      <c r="AL25" s="149" t="n">
        <v>0</v>
      </c>
      <c r="AM25" s="149" t="n">
        <v>3</v>
      </c>
      <c r="AN25" s="149" t="n">
        <v>3</v>
      </c>
      <c r="AO25" s="149" t="n">
        <v>1</v>
      </c>
      <c r="AP25" s="149"/>
      <c r="AQ25" s="149"/>
      <c r="AR25" s="149"/>
      <c r="AS25" s="149"/>
      <c r="AT25" s="149"/>
      <c r="AU25" s="149"/>
      <c r="AV25" s="149" t="n">
        <v>0.3333</v>
      </c>
      <c r="AW25" s="149" t="n">
        <v>1</v>
      </c>
      <c r="AX25" s="149"/>
      <c r="AY25" s="149" t="n">
        <v>3.8095</v>
      </c>
      <c r="AZ25" s="149" t="n">
        <v>0</v>
      </c>
      <c r="BA25" s="149" t="n">
        <v>11.4286</v>
      </c>
      <c r="BB25" s="149" t="n">
        <v>11.4286</v>
      </c>
      <c r="BC25" s="149" t="n">
        <v>3.8095</v>
      </c>
      <c r="BD25" s="149" t="n">
        <v>30.4762</v>
      </c>
      <c r="BE25" s="149" t="n">
        <v>0</v>
      </c>
      <c r="BF25" s="149" t="n">
        <v>0</v>
      </c>
      <c r="BG25" s="149" t="n">
        <v>0</v>
      </c>
      <c r="BH25" s="149" t="n">
        <v>0</v>
      </c>
      <c r="BI25" s="149"/>
    </row>
    <row r="26" customFormat="false" ht="15" hidden="false" customHeight="true" outlineLevel="0" collapsed="false">
      <c r="A26" s="149" t="s">
        <v>280</v>
      </c>
      <c r="B26" s="149" t="s">
        <v>22</v>
      </c>
      <c r="C26" s="149" t="n">
        <v>2</v>
      </c>
      <c r="D26" s="149" t="n">
        <v>0</v>
      </c>
      <c r="E26" s="149" t="n">
        <v>0</v>
      </c>
      <c r="F26" s="149" t="s">
        <v>22</v>
      </c>
      <c r="G26" s="149" t="s">
        <v>127</v>
      </c>
      <c r="H26" s="149" t="n">
        <v>4</v>
      </c>
      <c r="I26" s="149" t="s">
        <v>116</v>
      </c>
      <c r="J26" s="149" t="s">
        <v>409</v>
      </c>
      <c r="K26" s="149"/>
      <c r="L26" s="149"/>
      <c r="M26" s="149"/>
      <c r="N26" s="149" t="s">
        <v>108</v>
      </c>
      <c r="O26" s="149" t="s">
        <v>447</v>
      </c>
      <c r="P26" s="149" t="n">
        <v>5</v>
      </c>
      <c r="Q26" s="149" t="s">
        <v>209</v>
      </c>
      <c r="R26" s="149" t="n">
        <v>10.5</v>
      </c>
      <c r="S26" s="149" t="n">
        <v>0.26</v>
      </c>
      <c r="T26" s="149" t="n">
        <v>0</v>
      </c>
      <c r="U26" s="149" t="n">
        <v>1</v>
      </c>
      <c r="V26" s="149" t="n">
        <v>2</v>
      </c>
      <c r="W26" s="149" t="n">
        <v>0</v>
      </c>
      <c r="X26" s="149" t="n">
        <v>1</v>
      </c>
      <c r="Y26" s="149" t="n">
        <v>1</v>
      </c>
      <c r="Z26" s="149" t="n">
        <v>0</v>
      </c>
      <c r="AA26" s="149" t="n">
        <v>2</v>
      </c>
      <c r="AB26" s="149" t="n">
        <v>0</v>
      </c>
      <c r="AC26" s="149" t="n">
        <v>0</v>
      </c>
      <c r="AD26" s="149" t="n">
        <v>0</v>
      </c>
      <c r="AE26" s="149" t="n">
        <v>1</v>
      </c>
      <c r="AF26" s="149" t="n">
        <v>1</v>
      </c>
      <c r="AG26" s="149" t="n">
        <v>0</v>
      </c>
      <c r="AH26" s="149" t="n">
        <v>0</v>
      </c>
      <c r="AI26" s="149" t="n">
        <v>1</v>
      </c>
      <c r="AJ26" s="149" t="n">
        <v>0</v>
      </c>
      <c r="AK26" s="149" t="n">
        <v>0</v>
      </c>
      <c r="AL26" s="149" t="n">
        <v>1</v>
      </c>
      <c r="AM26" s="149" t="n">
        <v>0</v>
      </c>
      <c r="AN26" s="149" t="n">
        <v>0</v>
      </c>
      <c r="AO26" s="149" t="n">
        <v>0</v>
      </c>
      <c r="AP26" s="149"/>
      <c r="AQ26" s="149"/>
      <c r="AR26" s="149"/>
      <c r="AS26" s="149"/>
      <c r="AT26" s="149"/>
      <c r="AU26" s="149"/>
      <c r="AV26" s="149" t="n">
        <v>0</v>
      </c>
      <c r="AW26" s="149" t="n">
        <v>0</v>
      </c>
      <c r="AX26" s="149"/>
      <c r="AY26" s="149" t="n">
        <v>0</v>
      </c>
      <c r="AZ26" s="149" t="n">
        <v>3.8095</v>
      </c>
      <c r="BA26" s="149" t="n">
        <v>7.619</v>
      </c>
      <c r="BB26" s="149" t="n">
        <v>0</v>
      </c>
      <c r="BC26" s="149" t="n">
        <v>0</v>
      </c>
      <c r="BD26" s="149" t="n">
        <v>7.619</v>
      </c>
      <c r="BE26" s="149" t="n">
        <v>0</v>
      </c>
      <c r="BF26" s="149" t="n">
        <v>0</v>
      </c>
      <c r="BG26" s="149" t="n">
        <v>0</v>
      </c>
      <c r="BH26" s="149" t="n">
        <v>0</v>
      </c>
      <c r="BI26" s="149"/>
    </row>
    <row r="27" customFormat="false" ht="15" hidden="false" customHeight="true" outlineLevel="0" collapsed="false">
      <c r="A27" s="149" t="s">
        <v>280</v>
      </c>
      <c r="B27" s="149" t="s">
        <v>22</v>
      </c>
      <c r="C27" s="149" t="n">
        <v>2</v>
      </c>
      <c r="D27" s="149" t="n">
        <v>0</v>
      </c>
      <c r="E27" s="149" t="n">
        <v>0</v>
      </c>
      <c r="F27" s="149" t="s">
        <v>22</v>
      </c>
      <c r="G27" s="149" t="s">
        <v>115</v>
      </c>
      <c r="H27" s="149" t="n">
        <v>14</v>
      </c>
      <c r="I27" s="149" t="s">
        <v>116</v>
      </c>
      <c r="J27" s="149" t="s">
        <v>409</v>
      </c>
      <c r="K27" s="149"/>
      <c r="L27" s="149"/>
      <c r="M27" s="149"/>
      <c r="N27" s="149" t="s">
        <v>108</v>
      </c>
      <c r="O27" s="149" t="s">
        <v>447</v>
      </c>
      <c r="P27" s="149" t="n">
        <v>14</v>
      </c>
      <c r="Q27" s="149" t="s">
        <v>207</v>
      </c>
      <c r="R27" s="149" t="n">
        <v>15</v>
      </c>
      <c r="S27" s="149" t="n">
        <v>0.37</v>
      </c>
      <c r="T27" s="149" t="n">
        <v>0</v>
      </c>
      <c r="U27" s="149" t="n">
        <v>0</v>
      </c>
      <c r="V27" s="149" t="n">
        <v>1</v>
      </c>
      <c r="W27" s="149" t="n">
        <v>1</v>
      </c>
      <c r="X27" s="149" t="n">
        <v>0</v>
      </c>
      <c r="Y27" s="149" t="n">
        <v>0</v>
      </c>
      <c r="Z27" s="149" t="n">
        <v>0</v>
      </c>
      <c r="AA27" s="149" t="n">
        <v>3</v>
      </c>
      <c r="AB27" s="149" t="n">
        <v>0</v>
      </c>
      <c r="AC27" s="149" t="n">
        <v>0</v>
      </c>
      <c r="AD27" s="149" t="n">
        <v>0</v>
      </c>
      <c r="AE27" s="149" t="n">
        <v>0</v>
      </c>
      <c r="AF27" s="149" t="n">
        <v>0</v>
      </c>
      <c r="AG27" s="149" t="n">
        <v>3</v>
      </c>
      <c r="AH27" s="149" t="n">
        <v>1</v>
      </c>
      <c r="AI27" s="149" t="n">
        <v>1</v>
      </c>
      <c r="AJ27" s="149" t="n">
        <v>0</v>
      </c>
      <c r="AK27" s="149" t="n">
        <v>0</v>
      </c>
      <c r="AL27" s="149" t="n">
        <v>0</v>
      </c>
      <c r="AM27" s="149" t="n">
        <v>0</v>
      </c>
      <c r="AN27" s="149" t="n">
        <v>1</v>
      </c>
      <c r="AO27" s="149" t="n">
        <v>1</v>
      </c>
      <c r="AP27" s="149"/>
      <c r="AQ27" s="149"/>
      <c r="AR27" s="149"/>
      <c r="AS27" s="149"/>
      <c r="AT27" s="149"/>
      <c r="AU27" s="149"/>
      <c r="AV27" s="149" t="n">
        <v>1</v>
      </c>
      <c r="AW27" s="149" t="n">
        <v>1</v>
      </c>
      <c r="AX27" s="149"/>
      <c r="AY27" s="149" t="n">
        <v>0</v>
      </c>
      <c r="AZ27" s="149" t="n">
        <v>0</v>
      </c>
      <c r="BA27" s="149" t="n">
        <v>2.6667</v>
      </c>
      <c r="BB27" s="149" t="n">
        <v>2.6667</v>
      </c>
      <c r="BC27" s="149" t="n">
        <v>2.6667</v>
      </c>
      <c r="BD27" s="149" t="n">
        <v>8</v>
      </c>
      <c r="BE27" s="149" t="n">
        <v>0</v>
      </c>
      <c r="BF27" s="149" t="n">
        <v>0</v>
      </c>
      <c r="BG27" s="149" t="n">
        <v>0</v>
      </c>
      <c r="BH27" s="149" t="n">
        <v>0</v>
      </c>
      <c r="BI27" s="149"/>
    </row>
    <row r="28" customFormat="false" ht="15" hidden="false" customHeight="true" outlineLevel="0" collapsed="false">
      <c r="A28" s="149" t="s">
        <v>283</v>
      </c>
      <c r="B28" s="149" t="s">
        <v>30</v>
      </c>
      <c r="C28" s="149" t="n">
        <v>1</v>
      </c>
      <c r="D28" s="149" t="n">
        <v>0</v>
      </c>
      <c r="E28" s="149" t="n">
        <v>0</v>
      </c>
      <c r="F28" s="149" t="s">
        <v>31</v>
      </c>
      <c r="G28" s="149" t="s">
        <v>125</v>
      </c>
      <c r="H28" s="149" t="n">
        <v>9</v>
      </c>
      <c r="I28" s="149" t="s">
        <v>113</v>
      </c>
      <c r="J28" s="149" t="s">
        <v>409</v>
      </c>
      <c r="K28" s="149"/>
      <c r="L28" s="149"/>
      <c r="M28" s="149"/>
      <c r="N28" s="149" t="s">
        <v>108</v>
      </c>
      <c r="O28" s="149" t="s">
        <v>448</v>
      </c>
      <c r="P28" s="149" t="n">
        <v>12</v>
      </c>
      <c r="Q28" s="149" t="s">
        <v>198</v>
      </c>
      <c r="R28" s="149" t="n">
        <v>9.0667</v>
      </c>
      <c r="S28" s="149" t="n">
        <v>0.22</v>
      </c>
      <c r="T28" s="149" t="n">
        <v>0</v>
      </c>
      <c r="U28" s="149" t="n">
        <v>0</v>
      </c>
      <c r="V28" s="149" t="n">
        <v>1</v>
      </c>
      <c r="W28" s="149" t="n">
        <v>0</v>
      </c>
      <c r="X28" s="149" t="n">
        <v>0</v>
      </c>
      <c r="Y28" s="149" t="n">
        <v>1</v>
      </c>
      <c r="Z28" s="149" t="n">
        <v>0</v>
      </c>
      <c r="AA28" s="149" t="n">
        <v>6</v>
      </c>
      <c r="AB28" s="149" t="n">
        <v>0</v>
      </c>
      <c r="AC28" s="149" t="n">
        <v>0</v>
      </c>
      <c r="AD28" s="149" t="n">
        <v>1</v>
      </c>
      <c r="AE28" s="149" t="n">
        <v>2</v>
      </c>
      <c r="AF28" s="149" t="n">
        <v>2</v>
      </c>
      <c r="AG28" s="149" t="n">
        <v>1</v>
      </c>
      <c r="AH28" s="149" t="n">
        <v>1</v>
      </c>
      <c r="AI28" s="149" t="n">
        <v>3</v>
      </c>
      <c r="AJ28" s="149" t="n">
        <v>2</v>
      </c>
      <c r="AK28" s="149" t="n">
        <v>2</v>
      </c>
      <c r="AL28" s="149" t="n">
        <v>0</v>
      </c>
      <c r="AM28" s="149" t="n">
        <v>1</v>
      </c>
      <c r="AN28" s="149" t="n">
        <v>0</v>
      </c>
      <c r="AO28" s="149" t="n">
        <v>0</v>
      </c>
      <c r="AP28" s="149"/>
      <c r="AQ28" s="149"/>
      <c r="AR28" s="149"/>
      <c r="AS28" s="149"/>
      <c r="AT28" s="149"/>
      <c r="AU28" s="149"/>
      <c r="AV28" s="149" t="n">
        <v>0</v>
      </c>
      <c r="AW28" s="149" t="n">
        <v>0.3333</v>
      </c>
      <c r="AX28" s="149" t="n">
        <v>1</v>
      </c>
      <c r="AY28" s="149" t="n">
        <v>0</v>
      </c>
      <c r="AZ28" s="149" t="n">
        <v>0</v>
      </c>
      <c r="BA28" s="149" t="n">
        <v>4.4118</v>
      </c>
      <c r="BB28" s="149" t="n">
        <v>0</v>
      </c>
      <c r="BC28" s="149" t="n">
        <v>0</v>
      </c>
      <c r="BD28" s="149" t="n">
        <v>26.4706</v>
      </c>
      <c r="BE28" s="149" t="n">
        <v>0</v>
      </c>
      <c r="BF28" s="149" t="n">
        <v>0</v>
      </c>
      <c r="BG28" s="149" t="n">
        <v>0</v>
      </c>
      <c r="BH28" s="149" t="n">
        <v>0</v>
      </c>
      <c r="BI28" s="149"/>
    </row>
    <row r="29" customFormat="false" ht="15" hidden="false" customHeight="true" outlineLevel="0" collapsed="false">
      <c r="A29" s="149" t="s">
        <v>283</v>
      </c>
      <c r="B29" s="149" t="s">
        <v>30</v>
      </c>
      <c r="C29" s="149" t="n">
        <v>1</v>
      </c>
      <c r="D29" s="149" t="n">
        <v>0</v>
      </c>
      <c r="E29" s="149" t="n">
        <v>0</v>
      </c>
      <c r="F29" s="149" t="s">
        <v>31</v>
      </c>
      <c r="G29" s="149" t="s">
        <v>35</v>
      </c>
      <c r="H29" s="149" t="n">
        <v>6</v>
      </c>
      <c r="I29" s="149" t="s">
        <v>112</v>
      </c>
      <c r="J29" s="149" t="s">
        <v>410</v>
      </c>
      <c r="K29" s="149"/>
      <c r="L29" s="149"/>
      <c r="M29" s="149"/>
      <c r="N29" s="149" t="s">
        <v>108</v>
      </c>
      <c r="O29" s="149" t="s">
        <v>448</v>
      </c>
      <c r="P29" s="149" t="n">
        <v>9</v>
      </c>
      <c r="Q29" s="149" t="s">
        <v>182</v>
      </c>
      <c r="R29" s="149" t="n">
        <v>18.5</v>
      </c>
      <c r="S29" s="149" t="n">
        <v>0.46</v>
      </c>
      <c r="T29" s="149" t="n">
        <v>2</v>
      </c>
      <c r="U29" s="149" t="n">
        <v>1</v>
      </c>
      <c r="V29" s="149" t="n">
        <v>12</v>
      </c>
      <c r="W29" s="149" t="n">
        <v>6</v>
      </c>
      <c r="X29" s="149" t="n">
        <v>5</v>
      </c>
      <c r="Y29" s="149" t="n">
        <v>1</v>
      </c>
      <c r="Z29" s="149" t="n">
        <v>0</v>
      </c>
      <c r="AA29" s="149" t="n">
        <v>5</v>
      </c>
      <c r="AB29" s="149" t="n">
        <v>1</v>
      </c>
      <c r="AC29" s="149" t="n">
        <v>0</v>
      </c>
      <c r="AD29" s="149" t="n">
        <v>0</v>
      </c>
      <c r="AE29" s="149" t="n">
        <v>1</v>
      </c>
      <c r="AF29" s="149" t="n">
        <v>2</v>
      </c>
      <c r="AG29" s="149" t="n">
        <v>1</v>
      </c>
      <c r="AH29" s="149" t="n">
        <v>5</v>
      </c>
      <c r="AI29" s="149" t="n">
        <v>7</v>
      </c>
      <c r="AJ29" s="149" t="n">
        <v>2</v>
      </c>
      <c r="AK29" s="149" t="n">
        <v>3</v>
      </c>
      <c r="AL29" s="149" t="n">
        <v>1</v>
      </c>
      <c r="AM29" s="149" t="n">
        <v>2</v>
      </c>
      <c r="AN29" s="149" t="n">
        <v>3</v>
      </c>
      <c r="AO29" s="149" t="n">
        <v>0</v>
      </c>
      <c r="AP29" s="149"/>
      <c r="AQ29" s="149"/>
      <c r="AR29" s="149"/>
      <c r="AS29" s="149"/>
      <c r="AT29" s="149"/>
      <c r="AU29" s="149"/>
      <c r="AV29" s="149" t="n">
        <v>0.5</v>
      </c>
      <c r="AW29" s="149" t="n">
        <v>0.7143</v>
      </c>
      <c r="AX29" s="149" t="n">
        <v>0.6667</v>
      </c>
      <c r="AY29" s="149" t="n">
        <v>4.3243</v>
      </c>
      <c r="AZ29" s="149" t="n">
        <v>2.1622</v>
      </c>
      <c r="BA29" s="149" t="n">
        <v>25.9459</v>
      </c>
      <c r="BB29" s="149" t="n">
        <v>6.4865</v>
      </c>
      <c r="BC29" s="149" t="n">
        <v>0</v>
      </c>
      <c r="BD29" s="149" t="n">
        <v>10.8108</v>
      </c>
      <c r="BE29" s="149" t="n">
        <v>0</v>
      </c>
      <c r="BF29" s="149" t="n">
        <v>0</v>
      </c>
      <c r="BG29" s="149" t="n">
        <v>0</v>
      </c>
      <c r="BH29" s="149" t="n">
        <v>0</v>
      </c>
      <c r="BI29" s="149"/>
    </row>
    <row r="30" customFormat="false" ht="15" hidden="false" customHeight="true" outlineLevel="0" collapsed="false">
      <c r="A30" s="149" t="s">
        <v>283</v>
      </c>
      <c r="B30" s="149" t="s">
        <v>30</v>
      </c>
      <c r="C30" s="149" t="n">
        <v>1</v>
      </c>
      <c r="D30" s="149" t="n">
        <v>0</v>
      </c>
      <c r="E30" s="149" t="n">
        <v>0</v>
      </c>
      <c r="F30" s="149" t="s">
        <v>31</v>
      </c>
      <c r="G30" s="149" t="s">
        <v>122</v>
      </c>
      <c r="H30" s="149" t="n">
        <v>17</v>
      </c>
      <c r="I30" s="149" t="s">
        <v>114</v>
      </c>
      <c r="J30" s="149" t="s">
        <v>409</v>
      </c>
      <c r="K30" s="149"/>
      <c r="L30" s="149"/>
      <c r="M30" s="149"/>
      <c r="N30" s="149" t="s">
        <v>108</v>
      </c>
      <c r="O30" s="149" t="s">
        <v>448</v>
      </c>
      <c r="P30" s="149" t="n">
        <v>17</v>
      </c>
      <c r="Q30" s="149" t="s">
        <v>197</v>
      </c>
      <c r="R30" s="149" t="n">
        <v>9.45</v>
      </c>
      <c r="S30" s="149" t="n">
        <v>0.24</v>
      </c>
      <c r="T30" s="149" t="n">
        <v>1</v>
      </c>
      <c r="U30" s="149" t="n">
        <v>0</v>
      </c>
      <c r="V30" s="149" t="n">
        <v>1</v>
      </c>
      <c r="W30" s="149" t="n">
        <v>1</v>
      </c>
      <c r="X30" s="149" t="n">
        <v>0</v>
      </c>
      <c r="Y30" s="149" t="n">
        <v>0</v>
      </c>
      <c r="Z30" s="149" t="n">
        <v>0</v>
      </c>
      <c r="AA30" s="149" t="n">
        <v>9</v>
      </c>
      <c r="AB30" s="149" t="n">
        <v>0</v>
      </c>
      <c r="AC30" s="149" t="n">
        <v>0</v>
      </c>
      <c r="AD30" s="149" t="n">
        <v>3</v>
      </c>
      <c r="AE30" s="149" t="n">
        <v>2</v>
      </c>
      <c r="AF30" s="149" t="n">
        <v>3</v>
      </c>
      <c r="AG30" s="149" t="n">
        <v>1</v>
      </c>
      <c r="AH30" s="149" t="n">
        <v>0</v>
      </c>
      <c r="AI30" s="149" t="n">
        <v>3</v>
      </c>
      <c r="AJ30" s="149" t="n">
        <v>0</v>
      </c>
      <c r="AK30" s="149" t="n">
        <v>2</v>
      </c>
      <c r="AL30" s="149" t="n">
        <v>0</v>
      </c>
      <c r="AM30" s="149" t="n">
        <v>0</v>
      </c>
      <c r="AN30" s="149" t="n">
        <v>1</v>
      </c>
      <c r="AO30" s="149" t="n">
        <v>0</v>
      </c>
      <c r="AP30" s="149"/>
      <c r="AQ30" s="149"/>
      <c r="AR30" s="149"/>
      <c r="AS30" s="149"/>
      <c r="AT30" s="149"/>
      <c r="AU30" s="149"/>
      <c r="AV30" s="149" t="n">
        <v>1</v>
      </c>
      <c r="AW30" s="149" t="n">
        <v>0</v>
      </c>
      <c r="AX30" s="149" t="n">
        <v>0</v>
      </c>
      <c r="AY30" s="149" t="n">
        <v>4.2328</v>
      </c>
      <c r="AZ30" s="149" t="n">
        <v>0</v>
      </c>
      <c r="BA30" s="149" t="n">
        <v>4.2328</v>
      </c>
      <c r="BB30" s="149" t="n">
        <v>4.2328</v>
      </c>
      <c r="BC30" s="149" t="n">
        <v>0</v>
      </c>
      <c r="BD30" s="149" t="n">
        <v>38.0952</v>
      </c>
      <c r="BE30" s="149" t="n">
        <v>0</v>
      </c>
      <c r="BF30" s="149" t="n">
        <v>0</v>
      </c>
      <c r="BG30" s="149" t="n">
        <v>0</v>
      </c>
      <c r="BH30" s="149" t="n">
        <v>0</v>
      </c>
      <c r="BI30" s="149"/>
    </row>
    <row r="31" customFormat="false" ht="15" hidden="false" customHeight="true" outlineLevel="0" collapsed="false">
      <c r="A31" s="149" t="s">
        <v>283</v>
      </c>
      <c r="B31" s="149" t="s">
        <v>30</v>
      </c>
      <c r="C31" s="149" t="n">
        <v>1</v>
      </c>
      <c r="D31" s="149" t="n">
        <v>0</v>
      </c>
      <c r="E31" s="149" t="n">
        <v>0</v>
      </c>
      <c r="F31" s="149" t="s">
        <v>31</v>
      </c>
      <c r="G31" s="149" t="s">
        <v>25</v>
      </c>
      <c r="H31" s="149" t="n">
        <v>11</v>
      </c>
      <c r="I31" s="149" t="s">
        <v>113</v>
      </c>
      <c r="J31" s="149" t="s">
        <v>410</v>
      </c>
      <c r="K31" s="149"/>
      <c r="L31" s="149"/>
      <c r="M31" s="149"/>
      <c r="N31" s="149" t="s">
        <v>108</v>
      </c>
      <c r="O31" s="149" t="s">
        <v>448</v>
      </c>
      <c r="P31" s="149" t="n">
        <v>14</v>
      </c>
      <c r="Q31" s="149" t="s">
        <v>185</v>
      </c>
      <c r="R31" s="149" t="n">
        <v>16.3833</v>
      </c>
      <c r="S31" s="149" t="n">
        <v>0.41</v>
      </c>
      <c r="T31" s="149" t="n">
        <v>0</v>
      </c>
      <c r="U31" s="149" t="n">
        <v>1</v>
      </c>
      <c r="V31" s="149" t="n">
        <v>7</v>
      </c>
      <c r="W31" s="149" t="n">
        <v>4</v>
      </c>
      <c r="X31" s="149" t="n">
        <v>2</v>
      </c>
      <c r="Y31" s="149" t="n">
        <v>1</v>
      </c>
      <c r="Z31" s="149" t="n">
        <v>0</v>
      </c>
      <c r="AA31" s="149" t="n">
        <v>7</v>
      </c>
      <c r="AB31" s="149" t="n">
        <v>3</v>
      </c>
      <c r="AC31" s="149" t="n">
        <v>0</v>
      </c>
      <c r="AD31" s="149" t="n">
        <v>3</v>
      </c>
      <c r="AE31" s="149" t="n">
        <v>1</v>
      </c>
      <c r="AF31" s="149" t="n">
        <v>0</v>
      </c>
      <c r="AG31" s="149" t="n">
        <v>0</v>
      </c>
      <c r="AH31" s="149" t="n">
        <v>1</v>
      </c>
      <c r="AI31" s="149" t="n">
        <v>6</v>
      </c>
      <c r="AJ31" s="149" t="n">
        <v>0</v>
      </c>
      <c r="AK31" s="149" t="n">
        <v>2</v>
      </c>
      <c r="AL31" s="149" t="n">
        <v>0</v>
      </c>
      <c r="AM31" s="149" t="n">
        <v>0</v>
      </c>
      <c r="AN31" s="149" t="n">
        <v>1</v>
      </c>
      <c r="AO31" s="149" t="n">
        <v>2</v>
      </c>
      <c r="AP31" s="149"/>
      <c r="AQ31" s="149"/>
      <c r="AR31" s="149"/>
      <c r="AS31" s="149"/>
      <c r="AT31" s="149"/>
      <c r="AU31" s="149"/>
      <c r="AV31" s="149" t="n">
        <v>0.5714</v>
      </c>
      <c r="AW31" s="149" t="n">
        <v>0.1667</v>
      </c>
      <c r="AX31" s="149" t="n">
        <v>0</v>
      </c>
      <c r="AY31" s="149" t="n">
        <v>0</v>
      </c>
      <c r="AZ31" s="149" t="n">
        <v>2.4415</v>
      </c>
      <c r="BA31" s="149" t="n">
        <v>17.0905</v>
      </c>
      <c r="BB31" s="149" t="n">
        <v>2.4415</v>
      </c>
      <c r="BC31" s="149" t="n">
        <v>4.883</v>
      </c>
      <c r="BD31" s="149" t="n">
        <v>17.0905</v>
      </c>
      <c r="BE31" s="149" t="n">
        <v>0</v>
      </c>
      <c r="BF31" s="149" t="n">
        <v>0</v>
      </c>
      <c r="BG31" s="149" t="n">
        <v>0</v>
      </c>
      <c r="BH31" s="149" t="n">
        <v>0</v>
      </c>
      <c r="BI31" s="149"/>
    </row>
    <row r="32" customFormat="false" ht="15" hidden="false" customHeight="true" outlineLevel="0" collapsed="false">
      <c r="A32" s="149" t="s">
        <v>283</v>
      </c>
      <c r="B32" s="149" t="s">
        <v>30</v>
      </c>
      <c r="C32" s="149" t="n">
        <v>1</v>
      </c>
      <c r="D32" s="149" t="n">
        <v>0</v>
      </c>
      <c r="E32" s="149" t="n">
        <v>0</v>
      </c>
      <c r="F32" s="149" t="s">
        <v>31</v>
      </c>
      <c r="G32" s="149" t="s">
        <v>40</v>
      </c>
      <c r="H32" s="149" t="n">
        <v>10</v>
      </c>
      <c r="I32" s="149" t="s">
        <v>114</v>
      </c>
      <c r="J32" s="149" t="s">
        <v>409</v>
      </c>
      <c r="K32" s="149"/>
      <c r="L32" s="149"/>
      <c r="M32" s="149"/>
      <c r="N32" s="149" t="s">
        <v>108</v>
      </c>
      <c r="O32" s="149" t="s">
        <v>448</v>
      </c>
      <c r="P32" s="149" t="n">
        <v>13</v>
      </c>
      <c r="Q32" s="149" t="s">
        <v>194</v>
      </c>
      <c r="R32" s="149" t="n">
        <v>11</v>
      </c>
      <c r="S32" s="149" t="n">
        <v>0.28</v>
      </c>
      <c r="T32" s="149" t="n">
        <v>0</v>
      </c>
      <c r="U32" s="149" t="n">
        <v>1</v>
      </c>
      <c r="V32" s="149" t="n">
        <v>3</v>
      </c>
      <c r="W32" s="149" t="n">
        <v>1</v>
      </c>
      <c r="X32" s="149" t="n">
        <v>1</v>
      </c>
      <c r="Y32" s="149" t="n">
        <v>1</v>
      </c>
      <c r="Z32" s="149" t="n">
        <v>0</v>
      </c>
      <c r="AA32" s="149" t="n">
        <v>9</v>
      </c>
      <c r="AB32" s="149" t="n">
        <v>3</v>
      </c>
      <c r="AC32" s="149" t="n">
        <v>0</v>
      </c>
      <c r="AD32" s="149" t="n">
        <v>1</v>
      </c>
      <c r="AE32" s="149" t="n">
        <v>2</v>
      </c>
      <c r="AF32" s="149" t="n">
        <v>1</v>
      </c>
      <c r="AG32" s="149" t="n">
        <v>2</v>
      </c>
      <c r="AH32" s="149" t="n">
        <v>0</v>
      </c>
      <c r="AI32" s="149" t="n">
        <v>3</v>
      </c>
      <c r="AJ32" s="149" t="n">
        <v>0</v>
      </c>
      <c r="AK32" s="149" t="n">
        <v>1</v>
      </c>
      <c r="AL32" s="149" t="n">
        <v>0</v>
      </c>
      <c r="AM32" s="149" t="n">
        <v>0</v>
      </c>
      <c r="AN32" s="149" t="n">
        <v>2</v>
      </c>
      <c r="AO32" s="149" t="n">
        <v>2</v>
      </c>
      <c r="AP32" s="149"/>
      <c r="AQ32" s="149"/>
      <c r="AR32" s="149"/>
      <c r="AS32" s="149"/>
      <c r="AT32" s="149"/>
      <c r="AU32" s="149"/>
      <c r="AV32" s="149" t="n">
        <v>0.3333</v>
      </c>
      <c r="AW32" s="149" t="n">
        <v>0</v>
      </c>
      <c r="AX32" s="149" t="n">
        <v>0</v>
      </c>
      <c r="AY32" s="149" t="n">
        <v>0</v>
      </c>
      <c r="AZ32" s="149" t="n">
        <v>3.6364</v>
      </c>
      <c r="BA32" s="149" t="n">
        <v>10.9091</v>
      </c>
      <c r="BB32" s="149" t="n">
        <v>7.2727</v>
      </c>
      <c r="BC32" s="149" t="n">
        <v>7.2727</v>
      </c>
      <c r="BD32" s="149" t="n">
        <v>32.7273</v>
      </c>
      <c r="BE32" s="149" t="n">
        <v>0</v>
      </c>
      <c r="BF32" s="149" t="n">
        <v>0</v>
      </c>
      <c r="BG32" s="149" t="n">
        <v>0</v>
      </c>
      <c r="BH32" s="149" t="n">
        <v>0</v>
      </c>
      <c r="BI32" s="149"/>
    </row>
    <row r="33" customFormat="false" ht="15" hidden="false" customHeight="true" outlineLevel="0" collapsed="false">
      <c r="A33" s="149" t="s">
        <v>283</v>
      </c>
      <c r="B33" s="149" t="s">
        <v>30</v>
      </c>
      <c r="C33" s="149" t="n">
        <v>1</v>
      </c>
      <c r="D33" s="149" t="n">
        <v>0</v>
      </c>
      <c r="E33" s="149" t="n">
        <v>0</v>
      </c>
      <c r="F33" s="149" t="s">
        <v>31</v>
      </c>
      <c r="G33" s="149" t="s">
        <v>201</v>
      </c>
      <c r="H33" s="149" t="n">
        <v>16</v>
      </c>
      <c r="I33" s="149" t="s">
        <v>176</v>
      </c>
      <c r="J33" s="149" t="s">
        <v>409</v>
      </c>
      <c r="K33" s="149"/>
      <c r="L33" s="149"/>
      <c r="M33" s="149"/>
      <c r="N33" s="149" t="s">
        <v>176</v>
      </c>
      <c r="O33" s="149" t="s">
        <v>448</v>
      </c>
      <c r="P33" s="149" t="n">
        <v>2</v>
      </c>
      <c r="Q33" s="149" t="s">
        <v>202</v>
      </c>
      <c r="R33" s="149" t="n">
        <v>20</v>
      </c>
      <c r="S33" s="149" t="n">
        <v>0.5</v>
      </c>
      <c r="T33" s="149" t="n">
        <v>0</v>
      </c>
      <c r="U33" s="149" t="n">
        <v>0</v>
      </c>
      <c r="V33" s="149" t="n">
        <v>0</v>
      </c>
      <c r="W33" s="149" t="n">
        <v>0</v>
      </c>
      <c r="X33" s="149" t="n">
        <v>0</v>
      </c>
      <c r="Y33" s="149" t="n">
        <v>0</v>
      </c>
      <c r="Z33" s="149" t="n">
        <v>0</v>
      </c>
      <c r="AA33" s="149" t="n">
        <v>4</v>
      </c>
      <c r="AB33" s="149" t="n">
        <v>0</v>
      </c>
      <c r="AC33" s="149" t="n">
        <v>1</v>
      </c>
      <c r="AD33" s="149" t="n">
        <v>3</v>
      </c>
      <c r="AE33" s="149" t="n">
        <v>0</v>
      </c>
      <c r="AF33" s="149" t="n">
        <v>0</v>
      </c>
      <c r="AG33" s="149" t="n">
        <v>0</v>
      </c>
      <c r="AH33" s="149"/>
      <c r="AI33" s="149"/>
      <c r="AJ33" s="149"/>
      <c r="AK33" s="149"/>
      <c r="AL33" s="149"/>
      <c r="AM33" s="149"/>
      <c r="AN33" s="149"/>
      <c r="AO33" s="149"/>
      <c r="AP33" s="149" t="n">
        <v>2</v>
      </c>
      <c r="AQ33" s="149" t="n">
        <v>8</v>
      </c>
      <c r="AR33" s="149" t="n">
        <v>8</v>
      </c>
      <c r="AS33" s="149" t="n">
        <v>0</v>
      </c>
      <c r="AT33" s="149" t="n">
        <v>2</v>
      </c>
      <c r="AU33" s="149" t="n">
        <v>5</v>
      </c>
      <c r="AV33" s="149"/>
      <c r="AW33" s="149"/>
      <c r="AX33" s="149"/>
      <c r="AY33" s="149" t="n">
        <v>0</v>
      </c>
      <c r="AZ33" s="149" t="n">
        <v>0</v>
      </c>
      <c r="BA33" s="149" t="n">
        <v>0</v>
      </c>
      <c r="BB33" s="149" t="n">
        <v>0</v>
      </c>
      <c r="BC33" s="149" t="n">
        <v>0</v>
      </c>
      <c r="BD33" s="149" t="n">
        <v>8</v>
      </c>
      <c r="BE33" s="149" t="n">
        <v>16</v>
      </c>
      <c r="BF33" s="149" t="n">
        <v>4</v>
      </c>
      <c r="BG33" s="149" t="n">
        <v>10</v>
      </c>
      <c r="BH33" s="149" t="n">
        <v>5</v>
      </c>
      <c r="BI33" s="149" t="n">
        <v>0.6667</v>
      </c>
    </row>
    <row r="34" customFormat="false" ht="15" hidden="false" customHeight="true" outlineLevel="0" collapsed="false">
      <c r="A34" s="149" t="s">
        <v>283</v>
      </c>
      <c r="B34" s="149" t="s">
        <v>30</v>
      </c>
      <c r="C34" s="149" t="n">
        <v>1</v>
      </c>
      <c r="D34" s="149" t="n">
        <v>0</v>
      </c>
      <c r="E34" s="149" t="n">
        <v>0</v>
      </c>
      <c r="F34" s="149" t="s">
        <v>31</v>
      </c>
      <c r="G34" s="149" t="s">
        <v>24</v>
      </c>
      <c r="H34" s="149" t="n">
        <v>8</v>
      </c>
      <c r="I34" s="149" t="s">
        <v>112</v>
      </c>
      <c r="J34" s="149" t="s">
        <v>409</v>
      </c>
      <c r="K34" s="149"/>
      <c r="L34" s="149"/>
      <c r="M34" s="149"/>
      <c r="N34" s="149" t="s">
        <v>108</v>
      </c>
      <c r="O34" s="149" t="s">
        <v>448</v>
      </c>
      <c r="P34" s="149" t="n">
        <v>11</v>
      </c>
      <c r="Q34" s="149" t="s">
        <v>189</v>
      </c>
      <c r="R34" s="149" t="n">
        <v>13.5</v>
      </c>
      <c r="S34" s="149" t="n">
        <v>0.34</v>
      </c>
      <c r="T34" s="149" t="n">
        <v>0</v>
      </c>
      <c r="U34" s="149" t="n">
        <v>0</v>
      </c>
      <c r="V34" s="149" t="n">
        <v>4</v>
      </c>
      <c r="W34" s="149" t="n">
        <v>3</v>
      </c>
      <c r="X34" s="149" t="n">
        <v>1</v>
      </c>
      <c r="Y34" s="149" t="n">
        <v>0</v>
      </c>
      <c r="Z34" s="149" t="n">
        <v>0</v>
      </c>
      <c r="AA34" s="149" t="n">
        <v>7</v>
      </c>
      <c r="AB34" s="149" t="n">
        <v>1</v>
      </c>
      <c r="AC34" s="149" t="n">
        <v>0</v>
      </c>
      <c r="AD34" s="149" t="n">
        <v>1</v>
      </c>
      <c r="AE34" s="149" t="n">
        <v>0</v>
      </c>
      <c r="AF34" s="149" t="n">
        <v>1</v>
      </c>
      <c r="AG34" s="149" t="n">
        <v>4</v>
      </c>
      <c r="AH34" s="149" t="n">
        <v>2</v>
      </c>
      <c r="AI34" s="149" t="n">
        <v>3</v>
      </c>
      <c r="AJ34" s="149" t="n">
        <v>1</v>
      </c>
      <c r="AK34" s="149" t="n">
        <v>1</v>
      </c>
      <c r="AL34" s="149" t="n">
        <v>2</v>
      </c>
      <c r="AM34" s="149" t="n">
        <v>2</v>
      </c>
      <c r="AN34" s="149" t="n">
        <v>5</v>
      </c>
      <c r="AO34" s="149" t="n">
        <v>5</v>
      </c>
      <c r="AP34" s="149"/>
      <c r="AQ34" s="149"/>
      <c r="AR34" s="149"/>
      <c r="AS34" s="149"/>
      <c r="AT34" s="149"/>
      <c r="AU34" s="149"/>
      <c r="AV34" s="149" t="n">
        <v>0.75</v>
      </c>
      <c r="AW34" s="149" t="n">
        <v>0.6667</v>
      </c>
      <c r="AX34" s="149" t="n">
        <v>1</v>
      </c>
      <c r="AY34" s="149" t="n">
        <v>0</v>
      </c>
      <c r="AZ34" s="149" t="n">
        <v>0</v>
      </c>
      <c r="BA34" s="149" t="n">
        <v>11.8519</v>
      </c>
      <c r="BB34" s="149" t="n">
        <v>14.8148</v>
      </c>
      <c r="BC34" s="149" t="n">
        <v>14.8148</v>
      </c>
      <c r="BD34" s="149" t="n">
        <v>20.7407</v>
      </c>
      <c r="BE34" s="149" t="n">
        <v>0</v>
      </c>
      <c r="BF34" s="149" t="n">
        <v>0</v>
      </c>
      <c r="BG34" s="149" t="n">
        <v>0</v>
      </c>
      <c r="BH34" s="149" t="n">
        <v>0</v>
      </c>
      <c r="BI34" s="149"/>
    </row>
    <row r="35" customFormat="false" ht="15" hidden="false" customHeight="true" outlineLevel="0" collapsed="false">
      <c r="A35" s="149" t="s">
        <v>283</v>
      </c>
      <c r="B35" s="149" t="s">
        <v>30</v>
      </c>
      <c r="C35" s="149" t="n">
        <v>1</v>
      </c>
      <c r="D35" s="149" t="n">
        <v>0</v>
      </c>
      <c r="E35" s="149" t="n">
        <v>0</v>
      </c>
      <c r="F35" s="149" t="s">
        <v>31</v>
      </c>
      <c r="G35" s="149" t="s">
        <v>179</v>
      </c>
      <c r="H35" s="149" t="n">
        <v>1</v>
      </c>
      <c r="I35" s="149" t="s">
        <v>176</v>
      </c>
      <c r="J35" s="149" t="s">
        <v>409</v>
      </c>
      <c r="K35" s="149"/>
      <c r="L35" s="149"/>
      <c r="M35" s="149"/>
      <c r="N35" s="149" t="s">
        <v>176</v>
      </c>
      <c r="O35" s="149" t="s">
        <v>448</v>
      </c>
      <c r="P35" s="149" t="n">
        <v>1</v>
      </c>
      <c r="Q35" s="149" t="s">
        <v>202</v>
      </c>
      <c r="R35" s="149" t="n">
        <v>20</v>
      </c>
      <c r="S35" s="149" t="n">
        <v>0.5</v>
      </c>
      <c r="T35" s="149" t="n">
        <v>0</v>
      </c>
      <c r="U35" s="149" t="n">
        <v>0</v>
      </c>
      <c r="V35" s="149" t="n">
        <v>0</v>
      </c>
      <c r="W35" s="149" t="n">
        <v>0</v>
      </c>
      <c r="X35" s="149" t="n">
        <v>0</v>
      </c>
      <c r="Y35" s="149" t="n">
        <v>0</v>
      </c>
      <c r="Z35" s="149" t="n">
        <v>0</v>
      </c>
      <c r="AA35" s="149" t="n">
        <v>3</v>
      </c>
      <c r="AB35" s="149" t="n">
        <v>2</v>
      </c>
      <c r="AC35" s="149" t="n">
        <v>0</v>
      </c>
      <c r="AD35" s="149" t="n">
        <v>1</v>
      </c>
      <c r="AE35" s="149" t="n">
        <v>0</v>
      </c>
      <c r="AF35" s="149" t="n">
        <v>0</v>
      </c>
      <c r="AG35" s="149" t="n">
        <v>0</v>
      </c>
      <c r="AH35" s="149"/>
      <c r="AI35" s="149"/>
      <c r="AJ35" s="149"/>
      <c r="AK35" s="149"/>
      <c r="AL35" s="149"/>
      <c r="AM35" s="149"/>
      <c r="AN35" s="149"/>
      <c r="AO35" s="149"/>
      <c r="AP35" s="149" t="n">
        <v>4</v>
      </c>
      <c r="AQ35" s="149" t="n">
        <v>7</v>
      </c>
      <c r="AR35" s="149" t="n">
        <v>13</v>
      </c>
      <c r="AS35" s="149" t="n">
        <v>0</v>
      </c>
      <c r="AT35" s="149" t="n">
        <v>5</v>
      </c>
      <c r="AU35" s="149" t="n">
        <v>1</v>
      </c>
      <c r="AV35" s="149"/>
      <c r="AW35" s="149"/>
      <c r="AX35" s="149"/>
      <c r="AY35" s="149" t="n">
        <v>0</v>
      </c>
      <c r="AZ35" s="149" t="n">
        <v>0</v>
      </c>
      <c r="BA35" s="149" t="n">
        <v>0</v>
      </c>
      <c r="BB35" s="149" t="n">
        <v>0</v>
      </c>
      <c r="BC35" s="149" t="n">
        <v>0</v>
      </c>
      <c r="BD35" s="149" t="n">
        <v>6</v>
      </c>
      <c r="BE35" s="149" t="n">
        <v>14</v>
      </c>
      <c r="BF35" s="149" t="n">
        <v>8</v>
      </c>
      <c r="BG35" s="149" t="n">
        <v>18</v>
      </c>
      <c r="BH35" s="149" t="n">
        <v>1</v>
      </c>
      <c r="BI35" s="149" t="n">
        <v>0.9474</v>
      </c>
    </row>
    <row r="36" customFormat="false" ht="15" hidden="false" customHeight="true" outlineLevel="0" collapsed="false">
      <c r="A36" s="149" t="s">
        <v>283</v>
      </c>
      <c r="B36" s="149" t="s">
        <v>30</v>
      </c>
      <c r="C36" s="149" t="n">
        <v>1</v>
      </c>
      <c r="D36" s="149" t="n">
        <v>0</v>
      </c>
      <c r="E36" s="149" t="n">
        <v>0</v>
      </c>
      <c r="F36" s="149" t="s">
        <v>31</v>
      </c>
      <c r="G36" s="149" t="s">
        <v>33</v>
      </c>
      <c r="H36" s="149" t="n">
        <v>5</v>
      </c>
      <c r="I36" s="149" t="s">
        <v>113</v>
      </c>
      <c r="J36" s="149" t="s">
        <v>409</v>
      </c>
      <c r="K36" s="149"/>
      <c r="L36" s="149"/>
      <c r="M36" s="149"/>
      <c r="N36" s="149" t="s">
        <v>108</v>
      </c>
      <c r="O36" s="149" t="s">
        <v>448</v>
      </c>
      <c r="P36" s="149" t="n">
        <v>8</v>
      </c>
      <c r="Q36" s="149" t="s">
        <v>193</v>
      </c>
      <c r="R36" s="149" t="n">
        <v>11.45</v>
      </c>
      <c r="S36" s="149" t="n">
        <v>0.29</v>
      </c>
      <c r="T36" s="149" t="n">
        <v>0</v>
      </c>
      <c r="U36" s="149" t="n">
        <v>0</v>
      </c>
      <c r="V36" s="149" t="n">
        <v>2</v>
      </c>
      <c r="W36" s="149" t="n">
        <v>0</v>
      </c>
      <c r="X36" s="149" t="n">
        <v>1</v>
      </c>
      <c r="Y36" s="149" t="n">
        <v>1</v>
      </c>
      <c r="Z36" s="149" t="n">
        <v>0</v>
      </c>
      <c r="AA36" s="149" t="n">
        <v>8</v>
      </c>
      <c r="AB36" s="149" t="n">
        <v>3</v>
      </c>
      <c r="AC36" s="149" t="n">
        <v>0</v>
      </c>
      <c r="AD36" s="149" t="n">
        <v>1</v>
      </c>
      <c r="AE36" s="149" t="n">
        <v>2</v>
      </c>
      <c r="AF36" s="149" t="n">
        <v>1</v>
      </c>
      <c r="AG36" s="149" t="n">
        <v>1</v>
      </c>
      <c r="AH36" s="149" t="n">
        <v>3</v>
      </c>
      <c r="AI36" s="149" t="n">
        <v>4</v>
      </c>
      <c r="AJ36" s="149" t="n">
        <v>2</v>
      </c>
      <c r="AK36" s="149" t="n">
        <v>3</v>
      </c>
      <c r="AL36" s="149" t="n">
        <v>1</v>
      </c>
      <c r="AM36" s="149" t="n">
        <v>0</v>
      </c>
      <c r="AN36" s="149" t="n">
        <v>1</v>
      </c>
      <c r="AO36" s="149" t="n">
        <v>2</v>
      </c>
      <c r="AP36" s="149"/>
      <c r="AQ36" s="149"/>
      <c r="AR36" s="149"/>
      <c r="AS36" s="149"/>
      <c r="AT36" s="149"/>
      <c r="AU36" s="149"/>
      <c r="AV36" s="149" t="n">
        <v>0</v>
      </c>
      <c r="AW36" s="149" t="n">
        <v>0.75</v>
      </c>
      <c r="AX36" s="149" t="n">
        <v>0.6667</v>
      </c>
      <c r="AY36" s="149" t="n">
        <v>0</v>
      </c>
      <c r="AZ36" s="149" t="n">
        <v>0</v>
      </c>
      <c r="BA36" s="149" t="n">
        <v>6.9869</v>
      </c>
      <c r="BB36" s="149" t="n">
        <v>3.4934</v>
      </c>
      <c r="BC36" s="149" t="n">
        <v>6.9869</v>
      </c>
      <c r="BD36" s="149" t="n">
        <v>27.9476</v>
      </c>
      <c r="BE36" s="149" t="n">
        <v>0</v>
      </c>
      <c r="BF36" s="149" t="n">
        <v>0</v>
      </c>
      <c r="BG36" s="149" t="n">
        <v>0</v>
      </c>
      <c r="BH36" s="149" t="n">
        <v>0</v>
      </c>
      <c r="BI36" s="149"/>
    </row>
    <row r="37" customFormat="false" ht="15" hidden="false" customHeight="true" outlineLevel="0" collapsed="false">
      <c r="A37" s="149" t="s">
        <v>283</v>
      </c>
      <c r="B37" s="149" t="s">
        <v>30</v>
      </c>
      <c r="C37" s="149" t="n">
        <v>1</v>
      </c>
      <c r="D37" s="149" t="n">
        <v>0</v>
      </c>
      <c r="E37" s="149" t="n">
        <v>0</v>
      </c>
      <c r="F37" s="149" t="s">
        <v>31</v>
      </c>
      <c r="G37" s="149" t="s">
        <v>123</v>
      </c>
      <c r="H37" s="149" t="n">
        <v>2</v>
      </c>
      <c r="I37" s="149" t="s">
        <v>112</v>
      </c>
      <c r="J37" s="149" t="s">
        <v>409</v>
      </c>
      <c r="K37" s="149"/>
      <c r="L37" s="149"/>
      <c r="M37" s="149"/>
      <c r="N37" s="149" t="s">
        <v>108</v>
      </c>
      <c r="O37" s="149" t="s">
        <v>448</v>
      </c>
      <c r="P37" s="149" t="n">
        <v>5</v>
      </c>
      <c r="Q37" s="149" t="s">
        <v>196</v>
      </c>
      <c r="R37" s="149" t="n">
        <v>9.5667</v>
      </c>
      <c r="S37" s="149" t="n">
        <v>0.24</v>
      </c>
      <c r="T37" s="149" t="n">
        <v>0</v>
      </c>
      <c r="U37" s="149" t="n">
        <v>0</v>
      </c>
      <c r="V37" s="149" t="n">
        <v>0</v>
      </c>
      <c r="W37" s="149" t="n">
        <v>0</v>
      </c>
      <c r="X37" s="149" t="n">
        <v>0</v>
      </c>
      <c r="Y37" s="149" t="n">
        <v>0</v>
      </c>
      <c r="Z37" s="149" t="n">
        <v>0</v>
      </c>
      <c r="AA37" s="149" t="n">
        <v>2</v>
      </c>
      <c r="AB37" s="149" t="n">
        <v>1</v>
      </c>
      <c r="AC37" s="149" t="n">
        <v>0</v>
      </c>
      <c r="AD37" s="149" t="n">
        <v>0</v>
      </c>
      <c r="AE37" s="149" t="n">
        <v>0</v>
      </c>
      <c r="AF37" s="149" t="n">
        <v>1</v>
      </c>
      <c r="AG37" s="149" t="n">
        <v>0</v>
      </c>
      <c r="AH37" s="149" t="n">
        <v>0</v>
      </c>
      <c r="AI37" s="149" t="n">
        <v>0</v>
      </c>
      <c r="AJ37" s="149" t="n">
        <v>0</v>
      </c>
      <c r="AK37" s="149" t="n">
        <v>0</v>
      </c>
      <c r="AL37" s="149" t="n">
        <v>0</v>
      </c>
      <c r="AM37" s="149" t="n">
        <v>0</v>
      </c>
      <c r="AN37" s="149" t="n">
        <v>0</v>
      </c>
      <c r="AO37" s="149" t="n">
        <v>1</v>
      </c>
      <c r="AP37" s="149"/>
      <c r="AQ37" s="149"/>
      <c r="AR37" s="149"/>
      <c r="AS37" s="149"/>
      <c r="AT37" s="149"/>
      <c r="AU37" s="149"/>
      <c r="AV37" s="149"/>
      <c r="AW37" s="149"/>
      <c r="AX37" s="149"/>
      <c r="AY37" s="149" t="n">
        <v>0</v>
      </c>
      <c r="AZ37" s="149" t="n">
        <v>0</v>
      </c>
      <c r="BA37" s="149" t="n">
        <v>0</v>
      </c>
      <c r="BB37" s="149" t="n">
        <v>0</v>
      </c>
      <c r="BC37" s="149" t="n">
        <v>4.1812</v>
      </c>
      <c r="BD37" s="149" t="n">
        <v>8.3624</v>
      </c>
      <c r="BE37" s="149" t="n">
        <v>0</v>
      </c>
      <c r="BF37" s="149" t="n">
        <v>0</v>
      </c>
      <c r="BG37" s="149" t="n">
        <v>0</v>
      </c>
      <c r="BH37" s="149" t="n">
        <v>0</v>
      </c>
      <c r="BI37" s="149"/>
    </row>
    <row r="38" customFormat="false" ht="15" hidden="false" customHeight="true" outlineLevel="0" collapsed="false">
      <c r="A38" s="149" t="s">
        <v>283</v>
      </c>
      <c r="B38" s="149" t="s">
        <v>30</v>
      </c>
      <c r="C38" s="149" t="n">
        <v>1</v>
      </c>
      <c r="D38" s="149" t="n">
        <v>0</v>
      </c>
      <c r="E38" s="149" t="n">
        <v>0</v>
      </c>
      <c r="F38" s="149" t="s">
        <v>31</v>
      </c>
      <c r="G38" s="149" t="s">
        <v>124</v>
      </c>
      <c r="H38" s="149" t="n">
        <v>7</v>
      </c>
      <c r="I38" s="149" t="s">
        <v>116</v>
      </c>
      <c r="J38" s="149" t="s">
        <v>410</v>
      </c>
      <c r="K38" s="149"/>
      <c r="L38" s="149"/>
      <c r="M38" s="149"/>
      <c r="N38" s="149" t="s">
        <v>108</v>
      </c>
      <c r="O38" s="149" t="s">
        <v>448</v>
      </c>
      <c r="P38" s="149" t="n">
        <v>10</v>
      </c>
      <c r="Q38" s="149" t="s">
        <v>191</v>
      </c>
      <c r="R38" s="149" t="n">
        <v>12</v>
      </c>
      <c r="S38" s="149" t="n">
        <v>0.3</v>
      </c>
      <c r="T38" s="149" t="n">
        <v>0</v>
      </c>
      <c r="U38" s="149" t="n">
        <v>0</v>
      </c>
      <c r="V38" s="149" t="n">
        <v>2</v>
      </c>
      <c r="W38" s="149" t="n">
        <v>1</v>
      </c>
      <c r="X38" s="149" t="n">
        <v>0</v>
      </c>
      <c r="Y38" s="149" t="n">
        <v>1</v>
      </c>
      <c r="Z38" s="149" t="n">
        <v>0</v>
      </c>
      <c r="AA38" s="149" t="n">
        <v>6</v>
      </c>
      <c r="AB38" s="149" t="n">
        <v>1</v>
      </c>
      <c r="AC38" s="149" t="n">
        <v>1</v>
      </c>
      <c r="AD38" s="149" t="n">
        <v>2</v>
      </c>
      <c r="AE38" s="149" t="n">
        <v>0</v>
      </c>
      <c r="AF38" s="149" t="n">
        <v>1</v>
      </c>
      <c r="AG38" s="149" t="n">
        <v>1</v>
      </c>
      <c r="AH38" s="149" t="n">
        <v>0</v>
      </c>
      <c r="AI38" s="149" t="n">
        <v>0</v>
      </c>
      <c r="AJ38" s="149" t="n">
        <v>1</v>
      </c>
      <c r="AK38" s="149" t="n">
        <v>2</v>
      </c>
      <c r="AL38" s="149" t="n">
        <v>0</v>
      </c>
      <c r="AM38" s="149" t="n">
        <v>0</v>
      </c>
      <c r="AN38" s="149" t="n">
        <v>1</v>
      </c>
      <c r="AO38" s="149" t="n">
        <v>2</v>
      </c>
      <c r="AP38" s="149"/>
      <c r="AQ38" s="149"/>
      <c r="AR38" s="149"/>
      <c r="AS38" s="149"/>
      <c r="AT38" s="149"/>
      <c r="AU38" s="149"/>
      <c r="AV38" s="149" t="n">
        <v>0.5</v>
      </c>
      <c r="AW38" s="149"/>
      <c r="AX38" s="149" t="n">
        <v>0.5</v>
      </c>
      <c r="AY38" s="149" t="n">
        <v>0</v>
      </c>
      <c r="AZ38" s="149" t="n">
        <v>0</v>
      </c>
      <c r="BA38" s="149" t="n">
        <v>6.6667</v>
      </c>
      <c r="BB38" s="149" t="n">
        <v>3.3333</v>
      </c>
      <c r="BC38" s="149" t="n">
        <v>6.6667</v>
      </c>
      <c r="BD38" s="149" t="n">
        <v>20</v>
      </c>
      <c r="BE38" s="149" t="n">
        <v>0</v>
      </c>
      <c r="BF38" s="149" t="n">
        <v>0</v>
      </c>
      <c r="BG38" s="149" t="n">
        <v>0</v>
      </c>
      <c r="BH38" s="149" t="n">
        <v>0</v>
      </c>
      <c r="BI38" s="149"/>
    </row>
    <row r="39" customFormat="false" ht="15" hidden="false" customHeight="true" outlineLevel="0" collapsed="false">
      <c r="A39" s="149" t="s">
        <v>283</v>
      </c>
      <c r="B39" s="149" t="s">
        <v>30</v>
      </c>
      <c r="C39" s="149" t="n">
        <v>1</v>
      </c>
      <c r="D39" s="149" t="n">
        <v>0</v>
      </c>
      <c r="E39" s="149" t="n">
        <v>0</v>
      </c>
      <c r="F39" s="149" t="s">
        <v>31</v>
      </c>
      <c r="G39" s="149" t="s">
        <v>34</v>
      </c>
      <c r="H39" s="149" t="n">
        <v>4</v>
      </c>
      <c r="I39" s="149" t="s">
        <v>116</v>
      </c>
      <c r="J39" s="149" t="s">
        <v>409</v>
      </c>
      <c r="K39" s="149"/>
      <c r="L39" s="149"/>
      <c r="M39" s="149"/>
      <c r="N39" s="149" t="s">
        <v>108</v>
      </c>
      <c r="O39" s="149" t="s">
        <v>448</v>
      </c>
      <c r="P39" s="149" t="n">
        <v>7</v>
      </c>
      <c r="Q39" s="149" t="s">
        <v>200</v>
      </c>
      <c r="R39" s="149" t="n">
        <v>8.2667</v>
      </c>
      <c r="S39" s="149" t="n">
        <v>0.21</v>
      </c>
      <c r="T39" s="149" t="n">
        <v>0</v>
      </c>
      <c r="U39" s="149" t="n">
        <v>1</v>
      </c>
      <c r="V39" s="149" t="n">
        <v>0</v>
      </c>
      <c r="W39" s="149" t="n">
        <v>0</v>
      </c>
      <c r="X39" s="149" t="n">
        <v>0</v>
      </c>
      <c r="Y39" s="149" t="n">
        <v>0</v>
      </c>
      <c r="Z39" s="149" t="n">
        <v>0</v>
      </c>
      <c r="AA39" s="149" t="n">
        <v>3</v>
      </c>
      <c r="AB39" s="149" t="n">
        <v>0</v>
      </c>
      <c r="AC39" s="149" t="n">
        <v>0</v>
      </c>
      <c r="AD39" s="149" t="n">
        <v>0</v>
      </c>
      <c r="AE39" s="149" t="n">
        <v>2</v>
      </c>
      <c r="AF39" s="149" t="n">
        <v>0</v>
      </c>
      <c r="AG39" s="149" t="n">
        <v>1</v>
      </c>
      <c r="AH39" s="149" t="n">
        <v>0</v>
      </c>
      <c r="AI39" s="149" t="n">
        <v>2</v>
      </c>
      <c r="AJ39" s="149" t="n">
        <v>1</v>
      </c>
      <c r="AK39" s="149" t="n">
        <v>1</v>
      </c>
      <c r="AL39" s="149" t="n">
        <v>0</v>
      </c>
      <c r="AM39" s="149" t="n">
        <v>0</v>
      </c>
      <c r="AN39" s="149" t="n">
        <v>1</v>
      </c>
      <c r="AO39" s="149" t="n">
        <v>0</v>
      </c>
      <c r="AP39" s="149"/>
      <c r="AQ39" s="149"/>
      <c r="AR39" s="149"/>
      <c r="AS39" s="149"/>
      <c r="AT39" s="149"/>
      <c r="AU39" s="149"/>
      <c r="AV39" s="149"/>
      <c r="AW39" s="149" t="n">
        <v>0</v>
      </c>
      <c r="AX39" s="149" t="n">
        <v>1</v>
      </c>
      <c r="AY39" s="149" t="n">
        <v>0</v>
      </c>
      <c r="AZ39" s="149" t="n">
        <v>4.8387</v>
      </c>
      <c r="BA39" s="149" t="n">
        <v>0</v>
      </c>
      <c r="BB39" s="149" t="n">
        <v>4.8387</v>
      </c>
      <c r="BC39" s="149" t="n">
        <v>0</v>
      </c>
      <c r="BD39" s="149" t="n">
        <v>14.5161</v>
      </c>
      <c r="BE39" s="149" t="n">
        <v>0</v>
      </c>
      <c r="BF39" s="149" t="n">
        <v>0</v>
      </c>
      <c r="BG39" s="149" t="n">
        <v>0</v>
      </c>
      <c r="BH39" s="149" t="n">
        <v>0</v>
      </c>
      <c r="BI39" s="149"/>
    </row>
    <row r="40" customFormat="false" ht="15" hidden="false" customHeight="true" outlineLevel="0" collapsed="false">
      <c r="A40" s="149" t="s">
        <v>283</v>
      </c>
      <c r="B40" s="149" t="s">
        <v>30</v>
      </c>
      <c r="C40" s="149" t="n">
        <v>1</v>
      </c>
      <c r="D40" s="149" t="n">
        <v>0</v>
      </c>
      <c r="E40" s="149" t="n">
        <v>0</v>
      </c>
      <c r="F40" s="149" t="s">
        <v>31</v>
      </c>
      <c r="G40" s="149" t="s">
        <v>121</v>
      </c>
      <c r="H40" s="149" t="n">
        <v>13</v>
      </c>
      <c r="I40" s="149" t="s">
        <v>114</v>
      </c>
      <c r="J40" s="149" t="s">
        <v>410</v>
      </c>
      <c r="K40" s="149"/>
      <c r="L40" s="149"/>
      <c r="M40" s="149"/>
      <c r="N40" s="149" t="s">
        <v>108</v>
      </c>
      <c r="O40" s="149" t="s">
        <v>448</v>
      </c>
      <c r="P40" s="149" t="n">
        <v>15</v>
      </c>
      <c r="Q40" s="149" t="s">
        <v>188</v>
      </c>
      <c r="R40" s="149" t="n">
        <v>13.8333</v>
      </c>
      <c r="S40" s="149" t="n">
        <v>0.35</v>
      </c>
      <c r="T40" s="149" t="n">
        <v>1</v>
      </c>
      <c r="U40" s="149" t="n">
        <v>0</v>
      </c>
      <c r="V40" s="149" t="n">
        <v>3</v>
      </c>
      <c r="W40" s="149" t="n">
        <v>1</v>
      </c>
      <c r="X40" s="149" t="n">
        <v>1</v>
      </c>
      <c r="Y40" s="149" t="n">
        <v>1</v>
      </c>
      <c r="Z40" s="149" t="n">
        <v>0</v>
      </c>
      <c r="AA40" s="149" t="n">
        <v>8</v>
      </c>
      <c r="AB40" s="149" t="n">
        <v>2</v>
      </c>
      <c r="AC40" s="149" t="n">
        <v>1</v>
      </c>
      <c r="AD40" s="149" t="n">
        <v>2</v>
      </c>
      <c r="AE40" s="149" t="n">
        <v>1</v>
      </c>
      <c r="AF40" s="149" t="n">
        <v>1</v>
      </c>
      <c r="AG40" s="149" t="n">
        <v>1</v>
      </c>
      <c r="AH40" s="149" t="n">
        <v>0</v>
      </c>
      <c r="AI40" s="149" t="n">
        <v>1</v>
      </c>
      <c r="AJ40" s="149" t="n">
        <v>2</v>
      </c>
      <c r="AK40" s="149" t="n">
        <v>3</v>
      </c>
      <c r="AL40" s="149" t="n">
        <v>0</v>
      </c>
      <c r="AM40" s="149" t="n">
        <v>1</v>
      </c>
      <c r="AN40" s="149" t="n">
        <v>2</v>
      </c>
      <c r="AO40" s="149" t="n">
        <v>2</v>
      </c>
      <c r="AP40" s="149"/>
      <c r="AQ40" s="149"/>
      <c r="AR40" s="149"/>
      <c r="AS40" s="149"/>
      <c r="AT40" s="149"/>
      <c r="AU40" s="149"/>
      <c r="AV40" s="149" t="n">
        <v>0.3333</v>
      </c>
      <c r="AW40" s="149" t="n">
        <v>0</v>
      </c>
      <c r="AX40" s="149" t="n">
        <v>0.6667</v>
      </c>
      <c r="AY40" s="149" t="n">
        <v>2.8916</v>
      </c>
      <c r="AZ40" s="149" t="n">
        <v>0</v>
      </c>
      <c r="BA40" s="149" t="n">
        <v>8.6747</v>
      </c>
      <c r="BB40" s="149" t="n">
        <v>5.7831</v>
      </c>
      <c r="BC40" s="149" t="n">
        <v>5.7831</v>
      </c>
      <c r="BD40" s="149" t="n">
        <v>23.1325</v>
      </c>
      <c r="BE40" s="149" t="n">
        <v>0</v>
      </c>
      <c r="BF40" s="149" t="n">
        <v>0</v>
      </c>
      <c r="BG40" s="149" t="n">
        <v>0</v>
      </c>
      <c r="BH40" s="149" t="n">
        <v>0</v>
      </c>
      <c r="BI40" s="149"/>
    </row>
    <row r="41" customFormat="false" ht="15" hidden="false" customHeight="true" outlineLevel="0" collapsed="false">
      <c r="A41" s="149" t="s">
        <v>283</v>
      </c>
      <c r="B41" s="149" t="s">
        <v>30</v>
      </c>
      <c r="C41" s="149" t="n">
        <v>1</v>
      </c>
      <c r="D41" s="149" t="n">
        <v>0</v>
      </c>
      <c r="E41" s="149" t="n">
        <v>0</v>
      </c>
      <c r="F41" s="149" t="s">
        <v>31</v>
      </c>
      <c r="G41" s="149" t="s">
        <v>28</v>
      </c>
      <c r="H41" s="149" t="n">
        <v>3</v>
      </c>
      <c r="I41" s="149" t="s">
        <v>112</v>
      </c>
      <c r="J41" s="149" t="s">
        <v>409</v>
      </c>
      <c r="K41" s="149"/>
      <c r="L41" s="149"/>
      <c r="M41" s="149"/>
      <c r="N41" s="149" t="s">
        <v>108</v>
      </c>
      <c r="O41" s="149" t="s">
        <v>448</v>
      </c>
      <c r="P41" s="149" t="n">
        <v>6</v>
      </c>
      <c r="Q41" s="149" t="s">
        <v>192</v>
      </c>
      <c r="R41" s="149" t="n">
        <v>11.9</v>
      </c>
      <c r="S41" s="149" t="n">
        <v>0.29</v>
      </c>
      <c r="T41" s="149" t="n">
        <v>0</v>
      </c>
      <c r="U41" s="149" t="n">
        <v>1</v>
      </c>
      <c r="V41" s="149" t="n">
        <v>4</v>
      </c>
      <c r="W41" s="149" t="n">
        <v>0</v>
      </c>
      <c r="X41" s="149" t="n">
        <v>2</v>
      </c>
      <c r="Y41" s="149" t="n">
        <v>2</v>
      </c>
      <c r="Z41" s="149" t="n">
        <v>0</v>
      </c>
      <c r="AA41" s="149" t="n">
        <v>7</v>
      </c>
      <c r="AB41" s="149" t="n">
        <v>4</v>
      </c>
      <c r="AC41" s="149" t="n">
        <v>1</v>
      </c>
      <c r="AD41" s="149" t="n">
        <v>1</v>
      </c>
      <c r="AE41" s="149" t="n">
        <v>0</v>
      </c>
      <c r="AF41" s="149" t="n">
        <v>0</v>
      </c>
      <c r="AG41" s="149" t="n">
        <v>1</v>
      </c>
      <c r="AH41" s="149" t="n">
        <v>0</v>
      </c>
      <c r="AI41" s="149" t="n">
        <v>1</v>
      </c>
      <c r="AJ41" s="149" t="n">
        <v>0</v>
      </c>
      <c r="AK41" s="149" t="n">
        <v>1</v>
      </c>
      <c r="AL41" s="149" t="n">
        <v>0</v>
      </c>
      <c r="AM41" s="149" t="n">
        <v>1</v>
      </c>
      <c r="AN41" s="149" t="n">
        <v>3</v>
      </c>
      <c r="AO41" s="149" t="n">
        <v>1</v>
      </c>
      <c r="AP41" s="149"/>
      <c r="AQ41" s="149"/>
      <c r="AR41" s="149"/>
      <c r="AS41" s="149"/>
      <c r="AT41" s="149"/>
      <c r="AU41" s="149"/>
      <c r="AV41" s="149" t="n">
        <v>0</v>
      </c>
      <c r="AW41" s="149" t="n">
        <v>0</v>
      </c>
      <c r="AX41" s="149" t="n">
        <v>0</v>
      </c>
      <c r="AY41" s="149" t="n">
        <v>0</v>
      </c>
      <c r="AZ41" s="149" t="n">
        <v>3.3613</v>
      </c>
      <c r="BA41" s="149" t="n">
        <v>13.4454</v>
      </c>
      <c r="BB41" s="149" t="n">
        <v>10.084</v>
      </c>
      <c r="BC41" s="149" t="n">
        <v>3.3613</v>
      </c>
      <c r="BD41" s="149" t="n">
        <v>23.5294</v>
      </c>
      <c r="BE41" s="149" t="n">
        <v>0</v>
      </c>
      <c r="BF41" s="149" t="n">
        <v>0</v>
      </c>
      <c r="BG41" s="149" t="n">
        <v>0</v>
      </c>
      <c r="BH41" s="149" t="n">
        <v>0</v>
      </c>
      <c r="BI41" s="149"/>
    </row>
    <row r="42" customFormat="false" ht="15" hidden="false" customHeight="true" outlineLevel="0" collapsed="false">
      <c r="A42" s="149" t="s">
        <v>283</v>
      </c>
      <c r="B42" s="149" t="s">
        <v>30</v>
      </c>
      <c r="C42" s="149" t="n">
        <v>1</v>
      </c>
      <c r="D42" s="149" t="n">
        <v>0</v>
      </c>
      <c r="E42" s="149" t="n">
        <v>0</v>
      </c>
      <c r="F42" s="149" t="s">
        <v>31</v>
      </c>
      <c r="G42" s="149" t="s">
        <v>115</v>
      </c>
      <c r="H42" s="149" t="n">
        <v>14</v>
      </c>
      <c r="I42" s="149" t="s">
        <v>116</v>
      </c>
      <c r="J42" s="149" t="s">
        <v>409</v>
      </c>
      <c r="K42" s="149"/>
      <c r="L42" s="149"/>
      <c r="M42" s="149"/>
      <c r="N42" s="149" t="s">
        <v>108</v>
      </c>
      <c r="O42" s="149" t="s">
        <v>448</v>
      </c>
      <c r="P42" s="149" t="n">
        <v>16</v>
      </c>
      <c r="Q42" s="149" t="s">
        <v>190</v>
      </c>
      <c r="R42" s="149" t="n">
        <v>13.1667</v>
      </c>
      <c r="S42" s="149" t="n">
        <v>0.33</v>
      </c>
      <c r="T42" s="149" t="n">
        <v>1</v>
      </c>
      <c r="U42" s="149" t="n">
        <v>0</v>
      </c>
      <c r="V42" s="149" t="n">
        <v>3</v>
      </c>
      <c r="W42" s="149" t="n">
        <v>1</v>
      </c>
      <c r="X42" s="149" t="n">
        <v>2</v>
      </c>
      <c r="Y42" s="149" t="n">
        <v>0</v>
      </c>
      <c r="Z42" s="149" t="n">
        <v>0</v>
      </c>
      <c r="AA42" s="149" t="n">
        <v>3</v>
      </c>
      <c r="AB42" s="149" t="n">
        <v>1</v>
      </c>
      <c r="AC42" s="149" t="n">
        <v>0</v>
      </c>
      <c r="AD42" s="149" t="n">
        <v>0</v>
      </c>
      <c r="AE42" s="149" t="n">
        <v>0</v>
      </c>
      <c r="AF42" s="149" t="n">
        <v>2</v>
      </c>
      <c r="AG42" s="149" t="n">
        <v>0</v>
      </c>
      <c r="AH42" s="149" t="n">
        <v>0</v>
      </c>
      <c r="AI42" s="149" t="n">
        <v>1</v>
      </c>
      <c r="AJ42" s="149" t="n">
        <v>0</v>
      </c>
      <c r="AK42" s="149" t="n">
        <v>1</v>
      </c>
      <c r="AL42" s="149" t="n">
        <v>0</v>
      </c>
      <c r="AM42" s="149" t="n">
        <v>0</v>
      </c>
      <c r="AN42" s="149" t="n">
        <v>1</v>
      </c>
      <c r="AO42" s="149" t="n">
        <v>0</v>
      </c>
      <c r="AP42" s="149"/>
      <c r="AQ42" s="149"/>
      <c r="AR42" s="149"/>
      <c r="AS42" s="149"/>
      <c r="AT42" s="149"/>
      <c r="AU42" s="149"/>
      <c r="AV42" s="149" t="n">
        <v>0.3333</v>
      </c>
      <c r="AW42" s="149" t="n">
        <v>0</v>
      </c>
      <c r="AX42" s="149" t="n">
        <v>0</v>
      </c>
      <c r="AY42" s="149" t="n">
        <v>3.038</v>
      </c>
      <c r="AZ42" s="149" t="n">
        <v>0</v>
      </c>
      <c r="BA42" s="149" t="n">
        <v>9.1139</v>
      </c>
      <c r="BB42" s="149" t="n">
        <v>3.038</v>
      </c>
      <c r="BC42" s="149" t="n">
        <v>0</v>
      </c>
      <c r="BD42" s="149" t="n">
        <v>9.1139</v>
      </c>
      <c r="BE42" s="149" t="n">
        <v>0</v>
      </c>
      <c r="BF42" s="149" t="n">
        <v>0</v>
      </c>
      <c r="BG42" s="149" t="n">
        <v>0</v>
      </c>
      <c r="BH42" s="149" t="n">
        <v>0</v>
      </c>
      <c r="BI42" s="149"/>
    </row>
    <row r="43" customFormat="false" ht="15" hidden="false" customHeight="true" outlineLevel="0" collapsed="false">
      <c r="A43" s="149" t="s">
        <v>285</v>
      </c>
      <c r="B43" s="149" t="s">
        <v>30</v>
      </c>
      <c r="C43" s="149" t="n">
        <v>2</v>
      </c>
      <c r="D43" s="149" t="n">
        <v>0</v>
      </c>
      <c r="E43" s="149" t="n">
        <v>0</v>
      </c>
      <c r="F43" s="149" t="s">
        <v>31</v>
      </c>
      <c r="G43" s="149" t="s">
        <v>125</v>
      </c>
      <c r="H43" s="149" t="n">
        <v>9</v>
      </c>
      <c r="I43" s="149" t="s">
        <v>113</v>
      </c>
      <c r="J43" s="149" t="s">
        <v>409</v>
      </c>
      <c r="K43" s="149"/>
      <c r="L43" s="149"/>
      <c r="M43" s="149"/>
      <c r="N43" s="149" t="s">
        <v>108</v>
      </c>
      <c r="O43" s="149" t="s">
        <v>449</v>
      </c>
      <c r="P43" s="149" t="n">
        <v>11</v>
      </c>
      <c r="Q43" s="149" t="s">
        <v>230</v>
      </c>
      <c r="R43" s="149" t="n">
        <v>9.85</v>
      </c>
      <c r="S43" s="149" t="n">
        <v>0.25</v>
      </c>
      <c r="T43" s="149" t="n">
        <v>0</v>
      </c>
      <c r="U43" s="149" t="n">
        <v>0</v>
      </c>
      <c r="V43" s="149" t="n">
        <v>3</v>
      </c>
      <c r="W43" s="149" t="n">
        <v>1</v>
      </c>
      <c r="X43" s="149" t="n">
        <v>2</v>
      </c>
      <c r="Y43" s="149" t="n">
        <v>0</v>
      </c>
      <c r="Z43" s="149" t="n">
        <v>0</v>
      </c>
      <c r="AA43" s="149" t="n">
        <v>4</v>
      </c>
      <c r="AB43" s="149" t="n">
        <v>1</v>
      </c>
      <c r="AC43" s="149" t="n">
        <v>0</v>
      </c>
      <c r="AD43" s="149" t="n">
        <v>1</v>
      </c>
      <c r="AE43" s="149" t="n">
        <v>2</v>
      </c>
      <c r="AF43" s="149" t="n">
        <v>0</v>
      </c>
      <c r="AG43" s="149" t="n">
        <v>0</v>
      </c>
      <c r="AH43" s="149" t="n">
        <v>2</v>
      </c>
      <c r="AI43" s="149" t="n">
        <v>4</v>
      </c>
      <c r="AJ43" s="149" t="n">
        <v>2</v>
      </c>
      <c r="AK43" s="149" t="n">
        <v>2</v>
      </c>
      <c r="AL43" s="149" t="n">
        <v>0</v>
      </c>
      <c r="AM43" s="149" t="n">
        <v>1</v>
      </c>
      <c r="AN43" s="149" t="n">
        <v>0</v>
      </c>
      <c r="AO43" s="149" t="n">
        <v>1</v>
      </c>
      <c r="AP43" s="149"/>
      <c r="AQ43" s="149"/>
      <c r="AR43" s="149"/>
      <c r="AS43" s="149"/>
      <c r="AT43" s="149"/>
      <c r="AU43" s="149"/>
      <c r="AV43" s="149" t="n">
        <v>0.3333</v>
      </c>
      <c r="AW43" s="149" t="n">
        <v>0.5</v>
      </c>
      <c r="AX43" s="149" t="n">
        <v>1</v>
      </c>
      <c r="AY43" s="149" t="n">
        <v>0</v>
      </c>
      <c r="AZ43" s="149" t="n">
        <v>0</v>
      </c>
      <c r="BA43" s="149" t="n">
        <v>12.1827</v>
      </c>
      <c r="BB43" s="149" t="n">
        <v>0</v>
      </c>
      <c r="BC43" s="149" t="n">
        <v>4.0609</v>
      </c>
      <c r="BD43" s="149" t="n">
        <v>16.2437</v>
      </c>
      <c r="BE43" s="149" t="n">
        <v>0</v>
      </c>
      <c r="BF43" s="149" t="n">
        <v>0</v>
      </c>
      <c r="BG43" s="149" t="n">
        <v>0</v>
      </c>
      <c r="BH43" s="149" t="n">
        <v>0</v>
      </c>
      <c r="BI43" s="149"/>
    </row>
    <row r="44" customFormat="false" ht="15" hidden="false" customHeight="true" outlineLevel="0" collapsed="false">
      <c r="A44" s="149" t="s">
        <v>285</v>
      </c>
      <c r="B44" s="149" t="s">
        <v>30</v>
      </c>
      <c r="C44" s="149" t="n">
        <v>2</v>
      </c>
      <c r="D44" s="149" t="n">
        <v>0</v>
      </c>
      <c r="E44" s="149" t="n">
        <v>0</v>
      </c>
      <c r="F44" s="149" t="s">
        <v>31</v>
      </c>
      <c r="G44" s="149" t="s">
        <v>35</v>
      </c>
      <c r="H44" s="149" t="n">
        <v>6</v>
      </c>
      <c r="I44" s="149" t="s">
        <v>112</v>
      </c>
      <c r="J44" s="149" t="s">
        <v>410</v>
      </c>
      <c r="K44" s="149"/>
      <c r="L44" s="149"/>
      <c r="M44" s="149"/>
      <c r="N44" s="149" t="s">
        <v>108</v>
      </c>
      <c r="O44" s="149" t="s">
        <v>449</v>
      </c>
      <c r="P44" s="149" t="n">
        <v>8</v>
      </c>
      <c r="Q44" s="149" t="s">
        <v>218</v>
      </c>
      <c r="R44" s="149" t="n">
        <v>17.4667</v>
      </c>
      <c r="S44" s="149" t="n">
        <v>0.44</v>
      </c>
      <c r="T44" s="149" t="n">
        <v>0</v>
      </c>
      <c r="U44" s="149" t="n">
        <v>0</v>
      </c>
      <c r="V44" s="149" t="n">
        <v>8</v>
      </c>
      <c r="W44" s="149" t="n">
        <v>3</v>
      </c>
      <c r="X44" s="149" t="n">
        <v>3</v>
      </c>
      <c r="Y44" s="149" t="n">
        <v>2</v>
      </c>
      <c r="Z44" s="149" t="n">
        <v>0</v>
      </c>
      <c r="AA44" s="149" t="n">
        <v>11</v>
      </c>
      <c r="AB44" s="149" t="n">
        <v>5</v>
      </c>
      <c r="AC44" s="149" t="n">
        <v>0</v>
      </c>
      <c r="AD44" s="149" t="n">
        <v>2</v>
      </c>
      <c r="AE44" s="149" t="n">
        <v>2</v>
      </c>
      <c r="AF44" s="149" t="n">
        <v>0</v>
      </c>
      <c r="AG44" s="149" t="n">
        <v>2</v>
      </c>
      <c r="AH44" s="149" t="n">
        <v>3</v>
      </c>
      <c r="AI44" s="149" t="n">
        <v>7</v>
      </c>
      <c r="AJ44" s="149" t="n">
        <v>4</v>
      </c>
      <c r="AK44" s="149" t="n">
        <v>6</v>
      </c>
      <c r="AL44" s="149" t="n">
        <v>0</v>
      </c>
      <c r="AM44" s="149" t="n">
        <v>3</v>
      </c>
      <c r="AN44" s="149" t="n">
        <v>5</v>
      </c>
      <c r="AO44" s="149" t="n">
        <v>1</v>
      </c>
      <c r="AP44" s="149"/>
      <c r="AQ44" s="149"/>
      <c r="AR44" s="149"/>
      <c r="AS44" s="149"/>
      <c r="AT44" s="149"/>
      <c r="AU44" s="149"/>
      <c r="AV44" s="149" t="n">
        <v>0.375</v>
      </c>
      <c r="AW44" s="149" t="n">
        <v>0.4286</v>
      </c>
      <c r="AX44" s="149" t="n">
        <v>0.6667</v>
      </c>
      <c r="AY44" s="149" t="n">
        <v>0</v>
      </c>
      <c r="AZ44" s="149" t="n">
        <v>0</v>
      </c>
      <c r="BA44" s="149" t="n">
        <v>18.3206</v>
      </c>
      <c r="BB44" s="149" t="n">
        <v>11.4504</v>
      </c>
      <c r="BC44" s="149" t="n">
        <v>2.2901</v>
      </c>
      <c r="BD44" s="149" t="n">
        <v>25.1908</v>
      </c>
      <c r="BE44" s="149" t="n">
        <v>0</v>
      </c>
      <c r="BF44" s="149" t="n">
        <v>0</v>
      </c>
      <c r="BG44" s="149" t="n">
        <v>0</v>
      </c>
      <c r="BH44" s="149" t="n">
        <v>0</v>
      </c>
      <c r="BI44" s="149"/>
    </row>
    <row r="45" customFormat="false" ht="15" hidden="false" customHeight="true" outlineLevel="0" collapsed="false">
      <c r="A45" s="149" t="s">
        <v>285</v>
      </c>
      <c r="B45" s="149" t="s">
        <v>30</v>
      </c>
      <c r="C45" s="149" t="n">
        <v>2</v>
      </c>
      <c r="D45" s="149" t="n">
        <v>0</v>
      </c>
      <c r="E45" s="149" t="n">
        <v>0</v>
      </c>
      <c r="F45" s="149" t="s">
        <v>31</v>
      </c>
      <c r="G45" s="149" t="s">
        <v>122</v>
      </c>
      <c r="H45" s="149" t="n">
        <v>17</v>
      </c>
      <c r="I45" s="149" t="s">
        <v>114</v>
      </c>
      <c r="J45" s="149" t="s">
        <v>409</v>
      </c>
      <c r="K45" s="149"/>
      <c r="L45" s="149"/>
      <c r="M45" s="149"/>
      <c r="N45" s="149" t="s">
        <v>108</v>
      </c>
      <c r="O45" s="149" t="s">
        <v>449</v>
      </c>
      <c r="P45" s="149" t="n">
        <v>16</v>
      </c>
      <c r="Q45" s="149" t="s">
        <v>228</v>
      </c>
      <c r="R45" s="149" t="n">
        <v>11.2</v>
      </c>
      <c r="S45" s="149" t="n">
        <v>0.28</v>
      </c>
      <c r="T45" s="149" t="n">
        <v>0</v>
      </c>
      <c r="U45" s="149" t="n">
        <v>0</v>
      </c>
      <c r="V45" s="149" t="n">
        <v>1</v>
      </c>
      <c r="W45" s="149" t="n">
        <v>1</v>
      </c>
      <c r="X45" s="149" t="n">
        <v>0</v>
      </c>
      <c r="Y45" s="149" t="n">
        <v>0</v>
      </c>
      <c r="Z45" s="149" t="n">
        <v>0</v>
      </c>
      <c r="AA45" s="149" t="n">
        <v>4</v>
      </c>
      <c r="AB45" s="149" t="n">
        <v>2</v>
      </c>
      <c r="AC45" s="149" t="n">
        <v>0</v>
      </c>
      <c r="AD45" s="149" t="n">
        <v>2</v>
      </c>
      <c r="AE45" s="149" t="n">
        <v>0</v>
      </c>
      <c r="AF45" s="149" t="n">
        <v>0</v>
      </c>
      <c r="AG45" s="149" t="n">
        <v>0</v>
      </c>
      <c r="AH45" s="149" t="n">
        <v>0</v>
      </c>
      <c r="AI45" s="149" t="n">
        <v>1</v>
      </c>
      <c r="AJ45" s="149" t="n">
        <v>2</v>
      </c>
      <c r="AK45" s="149" t="n">
        <v>2</v>
      </c>
      <c r="AL45" s="149" t="n">
        <v>2</v>
      </c>
      <c r="AM45" s="149" t="n">
        <v>0</v>
      </c>
      <c r="AN45" s="149" t="n">
        <v>1</v>
      </c>
      <c r="AO45" s="149" t="n">
        <v>2</v>
      </c>
      <c r="AP45" s="149"/>
      <c r="AQ45" s="149"/>
      <c r="AR45" s="149"/>
      <c r="AS45" s="149"/>
      <c r="AT45" s="149"/>
      <c r="AU45" s="149"/>
      <c r="AV45" s="149" t="n">
        <v>1</v>
      </c>
      <c r="AW45" s="149" t="n">
        <v>0</v>
      </c>
      <c r="AX45" s="149" t="n">
        <v>1</v>
      </c>
      <c r="AY45" s="149" t="n">
        <v>0</v>
      </c>
      <c r="AZ45" s="149" t="n">
        <v>0</v>
      </c>
      <c r="BA45" s="149" t="n">
        <v>3.5714</v>
      </c>
      <c r="BB45" s="149" t="n">
        <v>3.5714</v>
      </c>
      <c r="BC45" s="149" t="n">
        <v>7.1429</v>
      </c>
      <c r="BD45" s="149" t="n">
        <v>14.2857</v>
      </c>
      <c r="BE45" s="149" t="n">
        <v>0</v>
      </c>
      <c r="BF45" s="149" t="n">
        <v>0</v>
      </c>
      <c r="BG45" s="149" t="n">
        <v>0</v>
      </c>
      <c r="BH45" s="149" t="n">
        <v>0</v>
      </c>
      <c r="BI45" s="149"/>
    </row>
    <row r="46" customFormat="false" ht="15" hidden="false" customHeight="true" outlineLevel="0" collapsed="false">
      <c r="A46" s="149" t="s">
        <v>285</v>
      </c>
      <c r="B46" s="149" t="s">
        <v>30</v>
      </c>
      <c r="C46" s="149" t="n">
        <v>2</v>
      </c>
      <c r="D46" s="149" t="n">
        <v>0</v>
      </c>
      <c r="E46" s="149" t="n">
        <v>0</v>
      </c>
      <c r="F46" s="149" t="s">
        <v>31</v>
      </c>
      <c r="G46" s="149" t="s">
        <v>25</v>
      </c>
      <c r="H46" s="149" t="n">
        <v>11</v>
      </c>
      <c r="I46" s="149" t="s">
        <v>113</v>
      </c>
      <c r="J46" s="149" t="s">
        <v>410</v>
      </c>
      <c r="K46" s="149"/>
      <c r="L46" s="149"/>
      <c r="M46" s="149"/>
      <c r="N46" s="149" t="s">
        <v>108</v>
      </c>
      <c r="O46" s="149" t="s">
        <v>449</v>
      </c>
      <c r="P46" s="149" t="n">
        <v>13</v>
      </c>
      <c r="Q46" s="149" t="s">
        <v>224</v>
      </c>
      <c r="R46" s="149" t="n">
        <v>14.0667</v>
      </c>
      <c r="S46" s="149" t="n">
        <v>0.02</v>
      </c>
      <c r="T46" s="149" t="n">
        <v>0</v>
      </c>
      <c r="U46" s="149" t="n">
        <v>1</v>
      </c>
      <c r="V46" s="149" t="n">
        <v>6</v>
      </c>
      <c r="W46" s="149" t="n">
        <v>1</v>
      </c>
      <c r="X46" s="149" t="n">
        <v>2</v>
      </c>
      <c r="Y46" s="149" t="n">
        <v>3</v>
      </c>
      <c r="Z46" s="149" t="n">
        <v>0</v>
      </c>
      <c r="AA46" s="149" t="n">
        <v>5</v>
      </c>
      <c r="AB46" s="149" t="n">
        <v>0</v>
      </c>
      <c r="AC46" s="149" t="n">
        <v>1</v>
      </c>
      <c r="AD46" s="149" t="n">
        <v>2</v>
      </c>
      <c r="AE46" s="149" t="n">
        <v>1</v>
      </c>
      <c r="AF46" s="149" t="n">
        <v>1</v>
      </c>
      <c r="AG46" s="149" t="n">
        <v>0</v>
      </c>
      <c r="AH46" s="149" t="n">
        <v>0</v>
      </c>
      <c r="AI46" s="149" t="n">
        <v>2</v>
      </c>
      <c r="AJ46" s="149" t="n">
        <v>0</v>
      </c>
      <c r="AK46" s="149" t="n">
        <v>1</v>
      </c>
      <c r="AL46" s="149" t="n">
        <v>1</v>
      </c>
      <c r="AM46" s="149" t="n">
        <v>1</v>
      </c>
      <c r="AN46" s="149" t="n">
        <v>2</v>
      </c>
      <c r="AO46" s="149" t="n">
        <v>0</v>
      </c>
      <c r="AP46" s="149"/>
      <c r="AQ46" s="149"/>
      <c r="AR46" s="149"/>
      <c r="AS46" s="149"/>
      <c r="AT46" s="149"/>
      <c r="AU46" s="149"/>
      <c r="AV46" s="149" t="n">
        <v>0.1667</v>
      </c>
      <c r="AW46" s="149" t="n">
        <v>0</v>
      </c>
      <c r="AX46" s="149" t="n">
        <v>0</v>
      </c>
      <c r="AY46" s="149" t="n">
        <v>0</v>
      </c>
      <c r="AZ46" s="149" t="n">
        <v>2.8436</v>
      </c>
      <c r="BA46" s="149" t="n">
        <v>17.0616</v>
      </c>
      <c r="BB46" s="149" t="n">
        <v>5.6872</v>
      </c>
      <c r="BC46" s="149" t="n">
        <v>0</v>
      </c>
      <c r="BD46" s="149" t="n">
        <v>14.218</v>
      </c>
      <c r="BE46" s="149" t="n">
        <v>0</v>
      </c>
      <c r="BF46" s="149" t="n">
        <v>0</v>
      </c>
      <c r="BG46" s="149" t="n">
        <v>0</v>
      </c>
      <c r="BH46" s="149" t="n">
        <v>0</v>
      </c>
      <c r="BI46" s="149"/>
    </row>
    <row r="47" customFormat="false" ht="15" hidden="false" customHeight="true" outlineLevel="0" collapsed="false">
      <c r="A47" s="149" t="s">
        <v>285</v>
      </c>
      <c r="B47" s="149" t="s">
        <v>30</v>
      </c>
      <c r="C47" s="149" t="n">
        <v>2</v>
      </c>
      <c r="D47" s="149" t="n">
        <v>0</v>
      </c>
      <c r="E47" s="149" t="n">
        <v>0</v>
      </c>
      <c r="F47" s="149" t="s">
        <v>31</v>
      </c>
      <c r="G47" s="149" t="s">
        <v>40</v>
      </c>
      <c r="H47" s="149" t="n">
        <v>10</v>
      </c>
      <c r="I47" s="149" t="s">
        <v>114</v>
      </c>
      <c r="J47" s="149" t="s">
        <v>409</v>
      </c>
      <c r="K47" s="149"/>
      <c r="L47" s="149"/>
      <c r="M47" s="149"/>
      <c r="N47" s="149" t="s">
        <v>108</v>
      </c>
      <c r="O47" s="149" t="s">
        <v>449</v>
      </c>
      <c r="P47" s="149" t="n">
        <v>12</v>
      </c>
      <c r="Q47" s="149" t="s">
        <v>216</v>
      </c>
      <c r="R47" s="149" t="n">
        <v>18.9167</v>
      </c>
      <c r="S47" s="149" t="n">
        <v>0.48</v>
      </c>
      <c r="T47" s="149" t="n">
        <v>0</v>
      </c>
      <c r="U47" s="149" t="n">
        <v>0</v>
      </c>
      <c r="V47" s="149" t="n">
        <v>2</v>
      </c>
      <c r="W47" s="149" t="n">
        <v>1</v>
      </c>
      <c r="X47" s="149" t="n">
        <v>1</v>
      </c>
      <c r="Y47" s="149" t="n">
        <v>0</v>
      </c>
      <c r="Z47" s="149" t="n">
        <v>0</v>
      </c>
      <c r="AA47" s="149" t="n">
        <v>10</v>
      </c>
      <c r="AB47" s="149" t="n">
        <v>3</v>
      </c>
      <c r="AC47" s="149" t="n">
        <v>0</v>
      </c>
      <c r="AD47" s="149" t="n">
        <v>3</v>
      </c>
      <c r="AE47" s="149" t="n">
        <v>0</v>
      </c>
      <c r="AF47" s="149" t="n">
        <v>3</v>
      </c>
      <c r="AG47" s="149" t="n">
        <v>1</v>
      </c>
      <c r="AH47" s="149" t="n">
        <v>1</v>
      </c>
      <c r="AI47" s="149" t="n">
        <v>3</v>
      </c>
      <c r="AJ47" s="149" t="n">
        <v>1</v>
      </c>
      <c r="AK47" s="149" t="n">
        <v>4</v>
      </c>
      <c r="AL47" s="149" t="n">
        <v>1</v>
      </c>
      <c r="AM47" s="149" t="n">
        <v>0</v>
      </c>
      <c r="AN47" s="149" t="n">
        <v>3</v>
      </c>
      <c r="AO47" s="149" t="n">
        <v>0</v>
      </c>
      <c r="AP47" s="149"/>
      <c r="AQ47" s="149"/>
      <c r="AR47" s="149"/>
      <c r="AS47" s="149"/>
      <c r="AT47" s="149"/>
      <c r="AU47" s="149"/>
      <c r="AV47" s="149" t="n">
        <v>0.5</v>
      </c>
      <c r="AW47" s="149" t="n">
        <v>0.3333</v>
      </c>
      <c r="AX47" s="149" t="n">
        <v>0.25</v>
      </c>
      <c r="AY47" s="149" t="n">
        <v>0</v>
      </c>
      <c r="AZ47" s="149" t="n">
        <v>0</v>
      </c>
      <c r="BA47" s="149" t="n">
        <v>4.2291</v>
      </c>
      <c r="BB47" s="149" t="n">
        <v>6.3436</v>
      </c>
      <c r="BC47" s="149" t="n">
        <v>0</v>
      </c>
      <c r="BD47" s="149" t="n">
        <v>21.1454</v>
      </c>
      <c r="BE47" s="149" t="n">
        <v>0</v>
      </c>
      <c r="BF47" s="149" t="n">
        <v>0</v>
      </c>
      <c r="BG47" s="149" t="n">
        <v>0</v>
      </c>
      <c r="BH47" s="149" t="n">
        <v>0</v>
      </c>
      <c r="BI47" s="149"/>
    </row>
    <row r="48" customFormat="false" ht="15" hidden="false" customHeight="true" outlineLevel="0" collapsed="false">
      <c r="A48" s="149" t="s">
        <v>285</v>
      </c>
      <c r="B48" s="149" t="s">
        <v>30</v>
      </c>
      <c r="C48" s="149" t="n">
        <v>2</v>
      </c>
      <c r="D48" s="149" t="n">
        <v>0</v>
      </c>
      <c r="E48" s="149" t="n">
        <v>0</v>
      </c>
      <c r="F48" s="149" t="s">
        <v>31</v>
      </c>
      <c r="G48" s="149" t="s">
        <v>201</v>
      </c>
      <c r="H48" s="149" t="n">
        <v>16</v>
      </c>
      <c r="I48" s="149" t="s">
        <v>176</v>
      </c>
      <c r="J48" s="149" t="s">
        <v>409</v>
      </c>
      <c r="K48" s="149"/>
      <c r="L48" s="149"/>
      <c r="M48" s="149"/>
      <c r="N48" s="149" t="s">
        <v>176</v>
      </c>
      <c r="O48" s="149" t="s">
        <v>449</v>
      </c>
      <c r="P48" s="149" t="n">
        <v>3</v>
      </c>
      <c r="Q48" s="149" t="s">
        <v>232</v>
      </c>
      <c r="R48" s="149" t="n">
        <v>16.4667</v>
      </c>
      <c r="S48" s="149" t="n">
        <v>0.41</v>
      </c>
      <c r="T48" s="149" t="n">
        <v>0</v>
      </c>
      <c r="U48" s="149" t="n">
        <v>0</v>
      </c>
      <c r="V48" s="149" t="n">
        <v>0</v>
      </c>
      <c r="W48" s="149" t="n">
        <v>0</v>
      </c>
      <c r="X48" s="149" t="n">
        <v>0</v>
      </c>
      <c r="Y48" s="149" t="n">
        <v>0</v>
      </c>
      <c r="Z48" s="149" t="n">
        <v>0</v>
      </c>
      <c r="AA48" s="149" t="n">
        <v>0</v>
      </c>
      <c r="AB48" s="149" t="n">
        <v>0</v>
      </c>
      <c r="AC48" s="149" t="n">
        <v>0</v>
      </c>
      <c r="AD48" s="149" t="n">
        <v>0</v>
      </c>
      <c r="AE48" s="149" t="n">
        <v>0</v>
      </c>
      <c r="AF48" s="149" t="n">
        <v>0</v>
      </c>
      <c r="AG48" s="149" t="n">
        <v>0</v>
      </c>
      <c r="AH48" s="149"/>
      <c r="AI48" s="149"/>
      <c r="AJ48" s="149"/>
      <c r="AK48" s="149"/>
      <c r="AL48" s="149"/>
      <c r="AM48" s="149"/>
      <c r="AN48" s="149"/>
      <c r="AO48" s="149"/>
      <c r="AP48" s="149" t="n">
        <v>5</v>
      </c>
      <c r="AQ48" s="149" t="n">
        <v>10</v>
      </c>
      <c r="AR48" s="149" t="n">
        <v>8</v>
      </c>
      <c r="AS48" s="149" t="n">
        <v>0</v>
      </c>
      <c r="AT48" s="149" t="n">
        <v>3</v>
      </c>
      <c r="AU48" s="149" t="n">
        <v>2</v>
      </c>
      <c r="AV48" s="149"/>
      <c r="AW48" s="149"/>
      <c r="AX48" s="149"/>
      <c r="AY48" s="149" t="n">
        <v>0</v>
      </c>
      <c r="AZ48" s="149" t="n">
        <v>0</v>
      </c>
      <c r="BA48" s="149" t="n">
        <v>0</v>
      </c>
      <c r="BB48" s="149" t="n">
        <v>0</v>
      </c>
      <c r="BC48" s="149" t="n">
        <v>0</v>
      </c>
      <c r="BD48" s="149" t="n">
        <v>0</v>
      </c>
      <c r="BE48" s="149" t="n">
        <v>24.2915</v>
      </c>
      <c r="BF48" s="149" t="n">
        <v>12.1457</v>
      </c>
      <c r="BG48" s="149" t="n">
        <v>11</v>
      </c>
      <c r="BH48" s="149" t="n">
        <v>2</v>
      </c>
      <c r="BI48" s="149" t="n">
        <v>0.8462</v>
      </c>
    </row>
    <row r="49" customFormat="false" ht="15" hidden="false" customHeight="true" outlineLevel="0" collapsed="false">
      <c r="A49" s="149" t="s">
        <v>285</v>
      </c>
      <c r="B49" s="149" t="s">
        <v>30</v>
      </c>
      <c r="C49" s="149" t="n">
        <v>2</v>
      </c>
      <c r="D49" s="149" t="n">
        <v>0</v>
      </c>
      <c r="E49" s="149" t="n">
        <v>0</v>
      </c>
      <c r="F49" s="149" t="s">
        <v>31</v>
      </c>
      <c r="G49" s="149" t="s">
        <v>24</v>
      </c>
      <c r="H49" s="149" t="n">
        <v>8</v>
      </c>
      <c r="I49" s="149" t="s">
        <v>112</v>
      </c>
      <c r="J49" s="149" t="s">
        <v>409</v>
      </c>
      <c r="K49" s="149"/>
      <c r="L49" s="149"/>
      <c r="M49" s="149"/>
      <c r="N49" s="149" t="s">
        <v>108</v>
      </c>
      <c r="O49" s="149" t="s">
        <v>449</v>
      </c>
      <c r="P49" s="149" t="n">
        <v>10</v>
      </c>
      <c r="Q49" s="149" t="s">
        <v>221</v>
      </c>
      <c r="R49" s="149" t="n">
        <v>14.6</v>
      </c>
      <c r="S49" s="149" t="n">
        <v>0.36</v>
      </c>
      <c r="T49" s="149" t="n">
        <v>2</v>
      </c>
      <c r="U49" s="149" t="n">
        <v>0</v>
      </c>
      <c r="V49" s="149" t="n">
        <v>8</v>
      </c>
      <c r="W49" s="149" t="n">
        <v>4</v>
      </c>
      <c r="X49" s="149" t="n">
        <v>2</v>
      </c>
      <c r="Y49" s="149" t="n">
        <v>2</v>
      </c>
      <c r="Z49" s="149" t="n">
        <v>0</v>
      </c>
      <c r="AA49" s="149" t="n">
        <v>7</v>
      </c>
      <c r="AB49" s="149" t="n">
        <v>2</v>
      </c>
      <c r="AC49" s="149" t="n">
        <v>0</v>
      </c>
      <c r="AD49" s="149" t="n">
        <v>1</v>
      </c>
      <c r="AE49" s="149" t="n">
        <v>1</v>
      </c>
      <c r="AF49" s="149" t="n">
        <v>0</v>
      </c>
      <c r="AG49" s="149" t="n">
        <v>3</v>
      </c>
      <c r="AH49" s="149" t="n">
        <v>2</v>
      </c>
      <c r="AI49" s="149" t="n">
        <v>5</v>
      </c>
      <c r="AJ49" s="149" t="n">
        <v>0</v>
      </c>
      <c r="AK49" s="149" t="n">
        <v>0</v>
      </c>
      <c r="AL49" s="149" t="n">
        <v>0</v>
      </c>
      <c r="AM49" s="149" t="n">
        <v>0</v>
      </c>
      <c r="AN49" s="149" t="n">
        <v>4</v>
      </c>
      <c r="AO49" s="149" t="n">
        <v>1</v>
      </c>
      <c r="AP49" s="149"/>
      <c r="AQ49" s="149"/>
      <c r="AR49" s="149"/>
      <c r="AS49" s="149"/>
      <c r="AT49" s="149"/>
      <c r="AU49" s="149"/>
      <c r="AV49" s="149" t="n">
        <v>0.5</v>
      </c>
      <c r="AW49" s="149" t="n">
        <v>0.4</v>
      </c>
      <c r="AX49" s="149"/>
      <c r="AY49" s="149" t="n">
        <v>5.4795</v>
      </c>
      <c r="AZ49" s="149" t="n">
        <v>0</v>
      </c>
      <c r="BA49" s="149" t="n">
        <v>21.9178</v>
      </c>
      <c r="BB49" s="149" t="n">
        <v>10.9589</v>
      </c>
      <c r="BC49" s="149" t="n">
        <v>2.7397</v>
      </c>
      <c r="BD49" s="149" t="n">
        <v>19.1781</v>
      </c>
      <c r="BE49" s="149" t="n">
        <v>0</v>
      </c>
      <c r="BF49" s="149" t="n">
        <v>0</v>
      </c>
      <c r="BG49" s="149" t="n">
        <v>0</v>
      </c>
      <c r="BH49" s="149" t="n">
        <v>0</v>
      </c>
      <c r="BI49" s="149"/>
    </row>
    <row r="50" customFormat="false" ht="15" hidden="false" customHeight="true" outlineLevel="0" collapsed="false">
      <c r="A50" s="149" t="s">
        <v>285</v>
      </c>
      <c r="B50" s="149" t="s">
        <v>30</v>
      </c>
      <c r="C50" s="149" t="n">
        <v>2</v>
      </c>
      <c r="D50" s="149" t="n">
        <v>0</v>
      </c>
      <c r="E50" s="149" t="n">
        <v>0</v>
      </c>
      <c r="F50" s="149" t="s">
        <v>31</v>
      </c>
      <c r="G50" s="149" t="s">
        <v>179</v>
      </c>
      <c r="H50" s="149" t="n">
        <v>1</v>
      </c>
      <c r="I50" s="149" t="s">
        <v>176</v>
      </c>
      <c r="J50" s="149" t="s">
        <v>409</v>
      </c>
      <c r="K50" s="149"/>
      <c r="L50" s="149"/>
      <c r="M50" s="149"/>
      <c r="N50" s="149" t="s">
        <v>176</v>
      </c>
      <c r="O50" s="149" t="s">
        <v>449</v>
      </c>
      <c r="P50" s="149" t="n">
        <v>1</v>
      </c>
      <c r="Q50" s="149" t="s">
        <v>233</v>
      </c>
      <c r="R50" s="149" t="n">
        <v>5.9667</v>
      </c>
      <c r="S50" s="149" t="n">
        <v>0.15</v>
      </c>
      <c r="T50" s="149" t="n">
        <v>0</v>
      </c>
      <c r="U50" s="149" t="n">
        <v>0</v>
      </c>
      <c r="V50" s="149" t="n">
        <v>0</v>
      </c>
      <c r="W50" s="149" t="n">
        <v>0</v>
      </c>
      <c r="X50" s="149" t="n">
        <v>0</v>
      </c>
      <c r="Y50" s="149" t="n">
        <v>0</v>
      </c>
      <c r="Z50" s="149" t="n">
        <v>0</v>
      </c>
      <c r="AA50" s="149" t="n">
        <v>1</v>
      </c>
      <c r="AB50" s="149" t="n">
        <v>1</v>
      </c>
      <c r="AC50" s="149" t="n">
        <v>0</v>
      </c>
      <c r="AD50" s="149" t="n">
        <v>0</v>
      </c>
      <c r="AE50" s="149" t="n">
        <v>0</v>
      </c>
      <c r="AF50" s="149" t="n">
        <v>0</v>
      </c>
      <c r="AG50" s="149" t="n">
        <v>0</v>
      </c>
      <c r="AH50" s="149"/>
      <c r="AI50" s="149"/>
      <c r="AJ50" s="149"/>
      <c r="AK50" s="149"/>
      <c r="AL50" s="149"/>
      <c r="AM50" s="149"/>
      <c r="AN50" s="149"/>
      <c r="AO50" s="149"/>
      <c r="AP50" s="149" t="n">
        <v>0</v>
      </c>
      <c r="AQ50" s="149" t="n">
        <v>3</v>
      </c>
      <c r="AR50" s="149" t="n">
        <v>1</v>
      </c>
      <c r="AS50" s="149" t="n">
        <v>0</v>
      </c>
      <c r="AT50" s="149" t="n">
        <v>0</v>
      </c>
      <c r="AU50" s="149" t="n">
        <v>1</v>
      </c>
      <c r="AV50" s="149"/>
      <c r="AW50" s="149"/>
      <c r="AX50" s="149"/>
      <c r="AY50" s="149" t="n">
        <v>0</v>
      </c>
      <c r="AZ50" s="149" t="n">
        <v>0</v>
      </c>
      <c r="BA50" s="149" t="n">
        <v>0</v>
      </c>
      <c r="BB50" s="149" t="n">
        <v>0</v>
      </c>
      <c r="BC50" s="149" t="n">
        <v>0</v>
      </c>
      <c r="BD50" s="149" t="n">
        <v>6.7039</v>
      </c>
      <c r="BE50" s="149" t="n">
        <v>20.1117</v>
      </c>
      <c r="BF50" s="149" t="n">
        <v>0</v>
      </c>
      <c r="BG50" s="149" t="n">
        <v>1</v>
      </c>
      <c r="BH50" s="149" t="n">
        <v>1</v>
      </c>
      <c r="BI50" s="149" t="n">
        <v>0.5</v>
      </c>
    </row>
    <row r="51" customFormat="false" ht="15" hidden="false" customHeight="true" outlineLevel="0" collapsed="false">
      <c r="A51" s="149" t="s">
        <v>285</v>
      </c>
      <c r="B51" s="149" t="s">
        <v>30</v>
      </c>
      <c r="C51" s="149" t="n">
        <v>2</v>
      </c>
      <c r="D51" s="149" t="n">
        <v>0</v>
      </c>
      <c r="E51" s="149" t="n">
        <v>0</v>
      </c>
      <c r="F51" s="149" t="s">
        <v>31</v>
      </c>
      <c r="G51" s="149" t="s">
        <v>33</v>
      </c>
      <c r="H51" s="149" t="n">
        <v>5</v>
      </c>
      <c r="I51" s="149" t="s">
        <v>113</v>
      </c>
      <c r="J51" s="149" t="s">
        <v>409</v>
      </c>
      <c r="K51" s="149"/>
      <c r="L51" s="149"/>
      <c r="M51" s="149"/>
      <c r="N51" s="149" t="s">
        <v>108</v>
      </c>
      <c r="O51" s="149" t="s">
        <v>449</v>
      </c>
      <c r="P51" s="149" t="n">
        <v>7</v>
      </c>
      <c r="Q51" s="149" t="s">
        <v>227</v>
      </c>
      <c r="R51" s="149" t="n">
        <v>11.4833</v>
      </c>
      <c r="S51" s="149" t="n">
        <v>0.29</v>
      </c>
      <c r="T51" s="149" t="n">
        <v>1</v>
      </c>
      <c r="U51" s="149" t="n">
        <v>0</v>
      </c>
      <c r="V51" s="149" t="n">
        <v>3</v>
      </c>
      <c r="W51" s="149" t="n">
        <v>3</v>
      </c>
      <c r="X51" s="149" t="n">
        <v>0</v>
      </c>
      <c r="Y51" s="149" t="n">
        <v>0</v>
      </c>
      <c r="Z51" s="149" t="n">
        <v>0</v>
      </c>
      <c r="AA51" s="149" t="n">
        <v>8</v>
      </c>
      <c r="AB51" s="149" t="n">
        <v>0</v>
      </c>
      <c r="AC51" s="149" t="n">
        <v>1</v>
      </c>
      <c r="AD51" s="149" t="n">
        <v>2</v>
      </c>
      <c r="AE51" s="149" t="n">
        <v>2</v>
      </c>
      <c r="AF51" s="149" t="n">
        <v>1</v>
      </c>
      <c r="AG51" s="149" t="n">
        <v>2</v>
      </c>
      <c r="AH51" s="149" t="n">
        <v>2</v>
      </c>
      <c r="AI51" s="149" t="n">
        <v>5</v>
      </c>
      <c r="AJ51" s="149" t="n">
        <v>1</v>
      </c>
      <c r="AK51" s="149" t="n">
        <v>1</v>
      </c>
      <c r="AL51" s="149" t="n">
        <v>2</v>
      </c>
      <c r="AM51" s="149" t="n">
        <v>2</v>
      </c>
      <c r="AN51" s="149" t="n">
        <v>6</v>
      </c>
      <c r="AO51" s="149" t="n">
        <v>1</v>
      </c>
      <c r="AP51" s="149"/>
      <c r="AQ51" s="149"/>
      <c r="AR51" s="149"/>
      <c r="AS51" s="149"/>
      <c r="AT51" s="149"/>
      <c r="AU51" s="149"/>
      <c r="AV51" s="149" t="n">
        <v>1</v>
      </c>
      <c r="AW51" s="149" t="n">
        <v>0.4</v>
      </c>
      <c r="AX51" s="149" t="n">
        <v>1</v>
      </c>
      <c r="AY51" s="149" t="n">
        <v>3.4833</v>
      </c>
      <c r="AZ51" s="149" t="n">
        <v>0</v>
      </c>
      <c r="BA51" s="149" t="n">
        <v>10.4499</v>
      </c>
      <c r="BB51" s="149" t="n">
        <v>20.8999</v>
      </c>
      <c r="BC51" s="149" t="n">
        <v>3.4833</v>
      </c>
      <c r="BD51" s="149" t="n">
        <v>27.8665</v>
      </c>
      <c r="BE51" s="149" t="n">
        <v>0</v>
      </c>
      <c r="BF51" s="149" t="n">
        <v>0</v>
      </c>
      <c r="BG51" s="149" t="n">
        <v>0</v>
      </c>
      <c r="BH51" s="149" t="n">
        <v>0</v>
      </c>
      <c r="BI51" s="149"/>
    </row>
    <row r="52" customFormat="false" ht="15" hidden="false" customHeight="true" outlineLevel="0" collapsed="false">
      <c r="A52" s="149" t="s">
        <v>285</v>
      </c>
      <c r="B52" s="149" t="s">
        <v>30</v>
      </c>
      <c r="C52" s="149" t="n">
        <v>2</v>
      </c>
      <c r="D52" s="149" t="n">
        <v>0</v>
      </c>
      <c r="E52" s="149" t="n">
        <v>0</v>
      </c>
      <c r="F52" s="149" t="s">
        <v>31</v>
      </c>
      <c r="G52" s="149" t="s">
        <v>123</v>
      </c>
      <c r="H52" s="149" t="n">
        <v>2</v>
      </c>
      <c r="I52" s="149" t="s">
        <v>112</v>
      </c>
      <c r="J52" s="149" t="s">
        <v>409</v>
      </c>
      <c r="K52" s="149"/>
      <c r="L52" s="149"/>
      <c r="M52" s="149"/>
      <c r="N52" s="149" t="s">
        <v>108</v>
      </c>
      <c r="O52" s="149" t="s">
        <v>449</v>
      </c>
      <c r="P52" s="149" t="n">
        <v>4</v>
      </c>
      <c r="Q52" s="149" t="s">
        <v>231</v>
      </c>
      <c r="R52" s="149" t="n">
        <v>2.3</v>
      </c>
      <c r="S52" s="149" t="n">
        <v>0.05</v>
      </c>
      <c r="T52" s="149" t="n">
        <v>0</v>
      </c>
      <c r="U52" s="149" t="n">
        <v>0</v>
      </c>
      <c r="V52" s="149" t="n">
        <v>0</v>
      </c>
      <c r="W52" s="149" t="n">
        <v>0</v>
      </c>
      <c r="X52" s="149" t="n">
        <v>0</v>
      </c>
      <c r="Y52" s="149" t="n">
        <v>0</v>
      </c>
      <c r="Z52" s="149" t="n">
        <v>0</v>
      </c>
      <c r="AA52" s="149" t="n">
        <v>0</v>
      </c>
      <c r="AB52" s="149" t="n">
        <v>0</v>
      </c>
      <c r="AC52" s="149" t="n">
        <v>0</v>
      </c>
      <c r="AD52" s="149" t="n">
        <v>0</v>
      </c>
      <c r="AE52" s="149" t="n">
        <v>0</v>
      </c>
      <c r="AF52" s="149" t="n">
        <v>0</v>
      </c>
      <c r="AG52" s="149" t="n">
        <v>0</v>
      </c>
      <c r="AH52" s="149" t="n">
        <v>0</v>
      </c>
      <c r="AI52" s="149" t="n">
        <v>0</v>
      </c>
      <c r="AJ52" s="149" t="n">
        <v>0</v>
      </c>
      <c r="AK52" s="149" t="n">
        <v>0</v>
      </c>
      <c r="AL52" s="149" t="n">
        <v>0</v>
      </c>
      <c r="AM52" s="149" t="n">
        <v>0</v>
      </c>
      <c r="AN52" s="149" t="n">
        <v>0</v>
      </c>
      <c r="AO52" s="149" t="n">
        <v>0</v>
      </c>
      <c r="AP52" s="149"/>
      <c r="AQ52" s="149"/>
      <c r="AR52" s="149"/>
      <c r="AS52" s="149"/>
      <c r="AT52" s="149"/>
      <c r="AU52" s="149"/>
      <c r="AV52" s="149"/>
      <c r="AW52" s="149"/>
      <c r="AX52" s="149"/>
      <c r="AY52" s="149" t="n">
        <v>0</v>
      </c>
      <c r="AZ52" s="149" t="n">
        <v>0</v>
      </c>
      <c r="BA52" s="149" t="n">
        <v>0</v>
      </c>
      <c r="BB52" s="149" t="n">
        <v>0</v>
      </c>
      <c r="BC52" s="149" t="n">
        <v>0</v>
      </c>
      <c r="BD52" s="149" t="n">
        <v>0</v>
      </c>
      <c r="BE52" s="149" t="n">
        <v>0</v>
      </c>
      <c r="BF52" s="149" t="n">
        <v>0</v>
      </c>
      <c r="BG52" s="149" t="n">
        <v>0</v>
      </c>
      <c r="BH52" s="149" t="n">
        <v>0</v>
      </c>
      <c r="BI52" s="149"/>
    </row>
    <row r="53" customFormat="false" ht="15" hidden="false" customHeight="true" outlineLevel="0" collapsed="false">
      <c r="A53" s="149" t="s">
        <v>285</v>
      </c>
      <c r="B53" s="149" t="s">
        <v>30</v>
      </c>
      <c r="C53" s="149" t="n">
        <v>2</v>
      </c>
      <c r="D53" s="149" t="n">
        <v>0</v>
      </c>
      <c r="E53" s="149" t="n">
        <v>0</v>
      </c>
      <c r="F53" s="149" t="s">
        <v>31</v>
      </c>
      <c r="G53" s="149" t="s">
        <v>124</v>
      </c>
      <c r="H53" s="149" t="n">
        <v>7</v>
      </c>
      <c r="I53" s="149" t="s">
        <v>116</v>
      </c>
      <c r="J53" s="149" t="s">
        <v>410</v>
      </c>
      <c r="K53" s="149"/>
      <c r="L53" s="149"/>
      <c r="M53" s="149"/>
      <c r="N53" s="149" t="s">
        <v>108</v>
      </c>
      <c r="O53" s="149" t="s">
        <v>449</v>
      </c>
      <c r="P53" s="149" t="n">
        <v>9</v>
      </c>
      <c r="Q53" s="149" t="s">
        <v>223</v>
      </c>
      <c r="R53" s="149" t="n">
        <v>14.0833</v>
      </c>
      <c r="S53" s="149" t="n">
        <v>0.02</v>
      </c>
      <c r="T53" s="149" t="n">
        <v>0</v>
      </c>
      <c r="U53" s="149" t="n">
        <v>0</v>
      </c>
      <c r="V53" s="149" t="n">
        <v>6</v>
      </c>
      <c r="W53" s="149" t="n">
        <v>0</v>
      </c>
      <c r="X53" s="149" t="n">
        <v>3</v>
      </c>
      <c r="Y53" s="149" t="n">
        <v>3</v>
      </c>
      <c r="Z53" s="149" t="n">
        <v>0</v>
      </c>
      <c r="AA53" s="149" t="n">
        <v>5</v>
      </c>
      <c r="AB53" s="149" t="n">
        <v>2</v>
      </c>
      <c r="AC53" s="149" t="n">
        <v>0</v>
      </c>
      <c r="AD53" s="149" t="n">
        <v>1</v>
      </c>
      <c r="AE53" s="149" t="n">
        <v>0</v>
      </c>
      <c r="AF53" s="149" t="n">
        <v>2</v>
      </c>
      <c r="AG53" s="149" t="n">
        <v>0</v>
      </c>
      <c r="AH53" s="149" t="n">
        <v>1</v>
      </c>
      <c r="AI53" s="149" t="n">
        <v>2</v>
      </c>
      <c r="AJ53" s="149" t="n">
        <v>0</v>
      </c>
      <c r="AK53" s="149" t="n">
        <v>0</v>
      </c>
      <c r="AL53" s="149" t="n">
        <v>0</v>
      </c>
      <c r="AM53" s="149" t="n">
        <v>0</v>
      </c>
      <c r="AN53" s="149" t="n">
        <v>1</v>
      </c>
      <c r="AO53" s="149" t="n">
        <v>4</v>
      </c>
      <c r="AP53" s="149"/>
      <c r="AQ53" s="149"/>
      <c r="AR53" s="149"/>
      <c r="AS53" s="149"/>
      <c r="AT53" s="149"/>
      <c r="AU53" s="149"/>
      <c r="AV53" s="149" t="n">
        <v>0</v>
      </c>
      <c r="AW53" s="149" t="n">
        <v>0.5</v>
      </c>
      <c r="AX53" s="149"/>
      <c r="AY53" s="149" t="n">
        <v>0</v>
      </c>
      <c r="AZ53" s="149" t="n">
        <v>0</v>
      </c>
      <c r="BA53" s="149" t="n">
        <v>17.0414</v>
      </c>
      <c r="BB53" s="149" t="n">
        <v>2.8402</v>
      </c>
      <c r="BC53" s="149" t="n">
        <v>11.3609</v>
      </c>
      <c r="BD53" s="149" t="n">
        <v>14.2012</v>
      </c>
      <c r="BE53" s="149" t="n">
        <v>0</v>
      </c>
      <c r="BF53" s="149" t="n">
        <v>0</v>
      </c>
      <c r="BG53" s="149" t="n">
        <v>0</v>
      </c>
      <c r="BH53" s="149" t="n">
        <v>0</v>
      </c>
      <c r="BI53" s="149"/>
    </row>
    <row r="54" customFormat="false" ht="15" hidden="false" customHeight="true" outlineLevel="0" collapsed="false">
      <c r="A54" s="149" t="s">
        <v>285</v>
      </c>
      <c r="B54" s="149" t="s">
        <v>30</v>
      </c>
      <c r="C54" s="149" t="n">
        <v>2</v>
      </c>
      <c r="D54" s="149" t="n">
        <v>0</v>
      </c>
      <c r="E54" s="149" t="n">
        <v>0</v>
      </c>
      <c r="F54" s="149" t="s">
        <v>31</v>
      </c>
      <c r="G54" s="149" t="s">
        <v>34</v>
      </c>
      <c r="H54" s="149" t="n">
        <v>4</v>
      </c>
      <c r="I54" s="149" t="s">
        <v>116</v>
      </c>
      <c r="J54" s="149" t="s">
        <v>409</v>
      </c>
      <c r="K54" s="149"/>
      <c r="L54" s="149"/>
      <c r="M54" s="149"/>
      <c r="N54" s="149" t="s">
        <v>108</v>
      </c>
      <c r="O54" s="149" t="s">
        <v>449</v>
      </c>
      <c r="P54" s="149" t="n">
        <v>6</v>
      </c>
      <c r="Q54" s="149" t="s">
        <v>229</v>
      </c>
      <c r="R54" s="149" t="n">
        <v>10.15</v>
      </c>
      <c r="S54" s="149" t="n">
        <v>0.25</v>
      </c>
      <c r="T54" s="149" t="n">
        <v>0</v>
      </c>
      <c r="U54" s="149" t="n">
        <v>1</v>
      </c>
      <c r="V54" s="149" t="n">
        <v>0</v>
      </c>
      <c r="W54" s="149" t="n">
        <v>0</v>
      </c>
      <c r="X54" s="149" t="n">
        <v>0</v>
      </c>
      <c r="Y54" s="149" t="n">
        <v>0</v>
      </c>
      <c r="Z54" s="149" t="n">
        <v>0</v>
      </c>
      <c r="AA54" s="149" t="n">
        <v>3</v>
      </c>
      <c r="AB54" s="149" t="n">
        <v>0</v>
      </c>
      <c r="AC54" s="149" t="n">
        <v>0</v>
      </c>
      <c r="AD54" s="149" t="n">
        <v>1</v>
      </c>
      <c r="AE54" s="149" t="n">
        <v>0</v>
      </c>
      <c r="AF54" s="149" t="n">
        <v>2</v>
      </c>
      <c r="AG54" s="149" t="n">
        <v>0</v>
      </c>
      <c r="AH54" s="149" t="n">
        <v>0</v>
      </c>
      <c r="AI54" s="149" t="n">
        <v>0</v>
      </c>
      <c r="AJ54" s="149" t="n">
        <v>2</v>
      </c>
      <c r="AK54" s="149" t="n">
        <v>3</v>
      </c>
      <c r="AL54" s="149" t="n">
        <v>0</v>
      </c>
      <c r="AM54" s="149" t="n">
        <v>0</v>
      </c>
      <c r="AN54" s="149" t="n">
        <v>1</v>
      </c>
      <c r="AO54" s="149" t="n">
        <v>0</v>
      </c>
      <c r="AP54" s="149"/>
      <c r="AQ54" s="149"/>
      <c r="AR54" s="149"/>
      <c r="AS54" s="149"/>
      <c r="AT54" s="149"/>
      <c r="AU54" s="149"/>
      <c r="AV54" s="149"/>
      <c r="AW54" s="149"/>
      <c r="AX54" s="149" t="n">
        <v>0.6667</v>
      </c>
      <c r="AY54" s="149" t="n">
        <v>0</v>
      </c>
      <c r="AZ54" s="149" t="n">
        <v>3.9409</v>
      </c>
      <c r="BA54" s="149" t="n">
        <v>0</v>
      </c>
      <c r="BB54" s="149" t="n">
        <v>3.9409</v>
      </c>
      <c r="BC54" s="149" t="n">
        <v>0</v>
      </c>
      <c r="BD54" s="149" t="n">
        <v>11.8227</v>
      </c>
      <c r="BE54" s="149" t="n">
        <v>0</v>
      </c>
      <c r="BF54" s="149" t="n">
        <v>0</v>
      </c>
      <c r="BG54" s="149" t="n">
        <v>0</v>
      </c>
      <c r="BH54" s="149" t="n">
        <v>0</v>
      </c>
      <c r="BI54" s="149"/>
    </row>
    <row r="55" customFormat="false" ht="15" hidden="false" customHeight="true" outlineLevel="0" collapsed="false">
      <c r="A55" s="149" t="s">
        <v>285</v>
      </c>
      <c r="B55" s="149" t="s">
        <v>30</v>
      </c>
      <c r="C55" s="149" t="n">
        <v>2</v>
      </c>
      <c r="D55" s="149" t="n">
        <v>0</v>
      </c>
      <c r="E55" s="149" t="n">
        <v>0</v>
      </c>
      <c r="F55" s="149" t="s">
        <v>31</v>
      </c>
      <c r="G55" s="149" t="s">
        <v>234</v>
      </c>
      <c r="H55" s="149" t="n">
        <v>12</v>
      </c>
      <c r="I55" s="149" t="s">
        <v>176</v>
      </c>
      <c r="J55" s="149" t="s">
        <v>409</v>
      </c>
      <c r="K55" s="149"/>
      <c r="L55" s="149"/>
      <c r="M55" s="149"/>
      <c r="N55" s="149" t="s">
        <v>176</v>
      </c>
      <c r="O55" s="149" t="s">
        <v>449</v>
      </c>
      <c r="P55" s="149" t="n">
        <v>2</v>
      </c>
      <c r="Q55" s="149" t="s">
        <v>235</v>
      </c>
      <c r="R55" s="149" t="n">
        <v>15.9333</v>
      </c>
      <c r="S55" s="149" t="n">
        <v>0.4</v>
      </c>
      <c r="T55" s="149" t="n">
        <v>0</v>
      </c>
      <c r="U55" s="149" t="n">
        <v>0</v>
      </c>
      <c r="V55" s="149" t="n">
        <v>0</v>
      </c>
      <c r="W55" s="149" t="n">
        <v>0</v>
      </c>
      <c r="X55" s="149" t="n">
        <v>0</v>
      </c>
      <c r="Y55" s="149" t="n">
        <v>0</v>
      </c>
      <c r="Z55" s="149" t="n">
        <v>0</v>
      </c>
      <c r="AA55" s="149" t="n">
        <v>0</v>
      </c>
      <c r="AB55" s="149" t="n">
        <v>0</v>
      </c>
      <c r="AC55" s="149" t="n">
        <v>0</v>
      </c>
      <c r="AD55" s="149" t="n">
        <v>0</v>
      </c>
      <c r="AE55" s="149" t="n">
        <v>0</v>
      </c>
      <c r="AF55" s="149" t="n">
        <v>0</v>
      </c>
      <c r="AG55" s="149" t="n">
        <v>0</v>
      </c>
      <c r="AH55" s="149"/>
      <c r="AI55" s="149"/>
      <c r="AJ55" s="149"/>
      <c r="AK55" s="149"/>
      <c r="AL55" s="149"/>
      <c r="AM55" s="149"/>
      <c r="AN55" s="149"/>
      <c r="AO55" s="149"/>
      <c r="AP55" s="149" t="n">
        <v>1</v>
      </c>
      <c r="AQ55" s="149" t="n">
        <v>2</v>
      </c>
      <c r="AR55" s="149" t="n">
        <v>7</v>
      </c>
      <c r="AS55" s="149" t="n">
        <v>0</v>
      </c>
      <c r="AT55" s="149" t="n">
        <v>2</v>
      </c>
      <c r="AU55" s="149" t="n">
        <v>2</v>
      </c>
      <c r="AV55" s="149"/>
      <c r="AW55" s="149"/>
      <c r="AX55" s="149"/>
      <c r="AY55" s="149" t="n">
        <v>0</v>
      </c>
      <c r="AZ55" s="149" t="n">
        <v>0</v>
      </c>
      <c r="BA55" s="149" t="n">
        <v>0</v>
      </c>
      <c r="BB55" s="149" t="n">
        <v>0</v>
      </c>
      <c r="BC55" s="149" t="n">
        <v>0</v>
      </c>
      <c r="BD55" s="149" t="n">
        <v>0</v>
      </c>
      <c r="BE55" s="149" t="n">
        <v>5.0209</v>
      </c>
      <c r="BF55" s="149" t="n">
        <v>2.5105</v>
      </c>
      <c r="BG55" s="149" t="n">
        <v>9</v>
      </c>
      <c r="BH55" s="149" t="n">
        <v>2</v>
      </c>
      <c r="BI55" s="149" t="n">
        <v>0.8182</v>
      </c>
    </row>
    <row r="56" customFormat="false" ht="15" hidden="false" customHeight="true" outlineLevel="0" collapsed="false">
      <c r="A56" s="149" t="s">
        <v>285</v>
      </c>
      <c r="B56" s="149" t="s">
        <v>30</v>
      </c>
      <c r="C56" s="149" t="n">
        <v>2</v>
      </c>
      <c r="D56" s="149" t="n">
        <v>0</v>
      </c>
      <c r="E56" s="149" t="n">
        <v>0</v>
      </c>
      <c r="F56" s="149" t="s">
        <v>31</v>
      </c>
      <c r="G56" s="149" t="s">
        <v>121</v>
      </c>
      <c r="H56" s="149" t="n">
        <v>13</v>
      </c>
      <c r="I56" s="149" t="s">
        <v>114</v>
      </c>
      <c r="J56" s="149" t="s">
        <v>410</v>
      </c>
      <c r="K56" s="149"/>
      <c r="L56" s="149"/>
      <c r="M56" s="149"/>
      <c r="N56" s="149" t="s">
        <v>108</v>
      </c>
      <c r="O56" s="149" t="s">
        <v>449</v>
      </c>
      <c r="P56" s="149" t="n">
        <v>14</v>
      </c>
      <c r="Q56" s="149" t="s">
        <v>225</v>
      </c>
      <c r="R56" s="149" t="n">
        <v>13.75</v>
      </c>
      <c r="S56" s="149" t="n">
        <v>0.34</v>
      </c>
      <c r="T56" s="149" t="n">
        <v>0</v>
      </c>
      <c r="U56" s="149" t="n">
        <v>0</v>
      </c>
      <c r="V56" s="149" t="n">
        <v>2</v>
      </c>
      <c r="W56" s="149" t="n">
        <v>1</v>
      </c>
      <c r="X56" s="149" t="n">
        <v>0</v>
      </c>
      <c r="Y56" s="149" t="n">
        <v>1</v>
      </c>
      <c r="Z56" s="149" t="n">
        <v>0</v>
      </c>
      <c r="AA56" s="149" t="n">
        <v>4</v>
      </c>
      <c r="AB56" s="149" t="n">
        <v>2</v>
      </c>
      <c r="AC56" s="149" t="n">
        <v>0</v>
      </c>
      <c r="AD56" s="149" t="n">
        <v>1</v>
      </c>
      <c r="AE56" s="149" t="n">
        <v>0</v>
      </c>
      <c r="AF56" s="149" t="n">
        <v>1</v>
      </c>
      <c r="AG56" s="149" t="n">
        <v>0</v>
      </c>
      <c r="AH56" s="149" t="n">
        <v>0</v>
      </c>
      <c r="AI56" s="149" t="n">
        <v>1</v>
      </c>
      <c r="AJ56" s="149" t="n">
        <v>3</v>
      </c>
      <c r="AK56" s="149" t="n">
        <v>4</v>
      </c>
      <c r="AL56" s="149" t="n">
        <v>0</v>
      </c>
      <c r="AM56" s="149" t="n">
        <v>0</v>
      </c>
      <c r="AN56" s="149" t="n">
        <v>0</v>
      </c>
      <c r="AO56" s="149" t="n">
        <v>0</v>
      </c>
      <c r="AP56" s="149"/>
      <c r="AQ56" s="149"/>
      <c r="AR56" s="149"/>
      <c r="AS56" s="149"/>
      <c r="AT56" s="149"/>
      <c r="AU56" s="149"/>
      <c r="AV56" s="149" t="n">
        <v>0.5</v>
      </c>
      <c r="AW56" s="149" t="n">
        <v>0</v>
      </c>
      <c r="AX56" s="149" t="n">
        <v>0.75</v>
      </c>
      <c r="AY56" s="149" t="n">
        <v>0</v>
      </c>
      <c r="AZ56" s="149" t="n">
        <v>0</v>
      </c>
      <c r="BA56" s="149" t="n">
        <v>5.8182</v>
      </c>
      <c r="BB56" s="149" t="n">
        <v>0</v>
      </c>
      <c r="BC56" s="149" t="n">
        <v>0</v>
      </c>
      <c r="BD56" s="149" t="n">
        <v>11.6364</v>
      </c>
      <c r="BE56" s="149" t="n">
        <v>0</v>
      </c>
      <c r="BF56" s="149" t="n">
        <v>0</v>
      </c>
      <c r="BG56" s="149" t="n">
        <v>0</v>
      </c>
      <c r="BH56" s="149" t="n">
        <v>0</v>
      </c>
      <c r="BI56" s="149"/>
    </row>
    <row r="57" customFormat="false" ht="15" hidden="false" customHeight="true" outlineLevel="0" collapsed="false">
      <c r="A57" s="149" t="s">
        <v>285</v>
      </c>
      <c r="B57" s="149" t="s">
        <v>30</v>
      </c>
      <c r="C57" s="149" t="n">
        <v>2</v>
      </c>
      <c r="D57" s="149" t="n">
        <v>0</v>
      </c>
      <c r="E57" s="149" t="n">
        <v>0</v>
      </c>
      <c r="F57" s="149" t="s">
        <v>31</v>
      </c>
      <c r="G57" s="149" t="s">
        <v>28</v>
      </c>
      <c r="H57" s="149" t="n">
        <v>3</v>
      </c>
      <c r="I57" s="149" t="s">
        <v>112</v>
      </c>
      <c r="J57" s="149" t="s">
        <v>409</v>
      </c>
      <c r="K57" s="149"/>
      <c r="L57" s="149"/>
      <c r="M57" s="149"/>
      <c r="N57" s="149" t="s">
        <v>108</v>
      </c>
      <c r="O57" s="149" t="s">
        <v>449</v>
      </c>
      <c r="P57" s="149" t="n">
        <v>5</v>
      </c>
      <c r="Q57" s="149" t="s">
        <v>200</v>
      </c>
      <c r="R57" s="149" t="n">
        <v>8.2667</v>
      </c>
      <c r="S57" s="149" t="n">
        <v>0.02</v>
      </c>
      <c r="T57" s="149" t="n">
        <v>0</v>
      </c>
      <c r="U57" s="149" t="n">
        <v>1</v>
      </c>
      <c r="V57" s="149" t="n">
        <v>9</v>
      </c>
      <c r="W57" s="149" t="n">
        <v>5</v>
      </c>
      <c r="X57" s="149" t="n">
        <v>2</v>
      </c>
      <c r="Y57" s="149" t="n">
        <v>2</v>
      </c>
      <c r="Z57" s="149" t="n">
        <v>0</v>
      </c>
      <c r="AA57" s="149" t="n">
        <v>6</v>
      </c>
      <c r="AB57" s="149" t="n">
        <v>1</v>
      </c>
      <c r="AC57" s="149" t="n">
        <v>0</v>
      </c>
      <c r="AD57" s="149" t="n">
        <v>3</v>
      </c>
      <c r="AE57" s="149" t="n">
        <v>0</v>
      </c>
      <c r="AF57" s="149" t="n">
        <v>1</v>
      </c>
      <c r="AG57" s="149" t="n">
        <v>1</v>
      </c>
      <c r="AH57" s="149" t="n">
        <v>0</v>
      </c>
      <c r="AI57" s="149" t="n">
        <v>1</v>
      </c>
      <c r="AJ57" s="149" t="n">
        <v>0</v>
      </c>
      <c r="AK57" s="149" t="n">
        <v>0</v>
      </c>
      <c r="AL57" s="149" t="n">
        <v>0</v>
      </c>
      <c r="AM57" s="149" t="n">
        <v>0</v>
      </c>
      <c r="AN57" s="149" t="n">
        <v>0</v>
      </c>
      <c r="AO57" s="149" t="n">
        <v>1</v>
      </c>
      <c r="AP57" s="149"/>
      <c r="AQ57" s="149"/>
      <c r="AR57" s="149"/>
      <c r="AS57" s="149"/>
      <c r="AT57" s="149"/>
      <c r="AU57" s="149"/>
      <c r="AV57" s="149" t="n">
        <v>0.5556</v>
      </c>
      <c r="AW57" s="149" t="n">
        <v>0</v>
      </c>
      <c r="AX57" s="149"/>
      <c r="AY57" s="149" t="n">
        <v>0</v>
      </c>
      <c r="AZ57" s="149" t="n">
        <v>4.8387</v>
      </c>
      <c r="BA57" s="149" t="n">
        <v>43.5484</v>
      </c>
      <c r="BB57" s="149" t="n">
        <v>0</v>
      </c>
      <c r="BC57" s="149" t="n">
        <v>4.8387</v>
      </c>
      <c r="BD57" s="149" t="n">
        <v>29.0323</v>
      </c>
      <c r="BE57" s="149" t="n">
        <v>0</v>
      </c>
      <c r="BF57" s="149" t="n">
        <v>0</v>
      </c>
      <c r="BG57" s="149" t="n">
        <v>0</v>
      </c>
      <c r="BH57" s="149" t="n">
        <v>0</v>
      </c>
      <c r="BI57" s="149"/>
    </row>
    <row r="58" customFormat="false" ht="15" hidden="false" customHeight="true" outlineLevel="0" collapsed="false">
      <c r="A58" s="149" t="s">
        <v>285</v>
      </c>
      <c r="B58" s="149" t="s">
        <v>30</v>
      </c>
      <c r="C58" s="149" t="n">
        <v>2</v>
      </c>
      <c r="D58" s="149" t="n">
        <v>0</v>
      </c>
      <c r="E58" s="149" t="n">
        <v>0</v>
      </c>
      <c r="F58" s="149" t="s">
        <v>31</v>
      </c>
      <c r="G58" s="149" t="s">
        <v>115</v>
      </c>
      <c r="H58" s="149" t="n">
        <v>14</v>
      </c>
      <c r="I58" s="149" t="s">
        <v>116</v>
      </c>
      <c r="J58" s="149" t="s">
        <v>409</v>
      </c>
      <c r="K58" s="149"/>
      <c r="L58" s="149"/>
      <c r="M58" s="149"/>
      <c r="N58" s="149" t="s">
        <v>108</v>
      </c>
      <c r="O58" s="149" t="s">
        <v>449</v>
      </c>
      <c r="P58" s="149" t="n">
        <v>15</v>
      </c>
      <c r="Q58" s="149" t="s">
        <v>226</v>
      </c>
      <c r="R58" s="149" t="n">
        <v>12.3333</v>
      </c>
      <c r="S58" s="149" t="n">
        <v>0.31</v>
      </c>
      <c r="T58" s="149" t="n">
        <v>0</v>
      </c>
      <c r="U58" s="149" t="n">
        <v>0</v>
      </c>
      <c r="V58" s="149" t="n">
        <v>3</v>
      </c>
      <c r="W58" s="149" t="n">
        <v>1</v>
      </c>
      <c r="X58" s="149" t="n">
        <v>2</v>
      </c>
      <c r="Y58" s="149" t="n">
        <v>0</v>
      </c>
      <c r="Z58" s="149" t="n">
        <v>0</v>
      </c>
      <c r="AA58" s="149" t="n">
        <v>4</v>
      </c>
      <c r="AB58" s="149" t="n">
        <v>1</v>
      </c>
      <c r="AC58" s="149" t="n">
        <v>0</v>
      </c>
      <c r="AD58" s="149" t="n">
        <v>0</v>
      </c>
      <c r="AE58" s="149" t="n">
        <v>0</v>
      </c>
      <c r="AF58" s="149" t="n">
        <v>3</v>
      </c>
      <c r="AG58" s="149" t="n">
        <v>0</v>
      </c>
      <c r="AH58" s="149" t="n">
        <v>0</v>
      </c>
      <c r="AI58" s="149" t="n">
        <v>0</v>
      </c>
      <c r="AJ58" s="149" t="n">
        <v>2</v>
      </c>
      <c r="AK58" s="149" t="n">
        <v>2</v>
      </c>
      <c r="AL58" s="149" t="n">
        <v>0</v>
      </c>
      <c r="AM58" s="149" t="n">
        <v>1</v>
      </c>
      <c r="AN58" s="149" t="n">
        <v>1</v>
      </c>
      <c r="AO58" s="149" t="n">
        <v>3</v>
      </c>
      <c r="AP58" s="149"/>
      <c r="AQ58" s="149"/>
      <c r="AR58" s="149"/>
      <c r="AS58" s="149"/>
      <c r="AT58" s="149"/>
      <c r="AU58" s="149"/>
      <c r="AV58" s="149" t="n">
        <v>0.3333</v>
      </c>
      <c r="AW58" s="149"/>
      <c r="AX58" s="149" t="n">
        <v>1</v>
      </c>
      <c r="AY58" s="149" t="n">
        <v>0</v>
      </c>
      <c r="AZ58" s="149" t="n">
        <v>0</v>
      </c>
      <c r="BA58" s="149" t="n">
        <v>9.7297</v>
      </c>
      <c r="BB58" s="149" t="n">
        <v>3.2432</v>
      </c>
      <c r="BC58" s="149" t="n">
        <v>9.7297</v>
      </c>
      <c r="BD58" s="149" t="n">
        <v>12.973</v>
      </c>
      <c r="BE58" s="149" t="n">
        <v>0</v>
      </c>
      <c r="BF58" s="149" t="n">
        <v>0</v>
      </c>
      <c r="BG58" s="149" t="n">
        <v>0</v>
      </c>
      <c r="BH58" s="149" t="n">
        <v>0</v>
      </c>
      <c r="BI58" s="149"/>
    </row>
  </sheetData>
  <autoFilter ref="A1:BI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00"/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45" zoomScaleNormal="45" zoomScalePageLayoutView="100" workbookViewId="0">
      <selection pane="topLeft" activeCell="I2" activeCellId="1" sqref="K3:M3 I2"/>
    </sheetView>
  </sheetViews>
  <sheetFormatPr defaultColWidth="17.94921875" defaultRowHeight="15" customHeight="false" zeroHeight="false" outlineLevelRow="0" outlineLevelCol="0"/>
  <cols>
    <col collapsed="false" customWidth="true" hidden="false" outlineLevel="0" max="1" min="1" style="23" width="27.87"/>
    <col collapsed="false" customWidth="true" hidden="false" outlineLevel="0" max="9" min="9" style="23" width="29.45"/>
  </cols>
  <sheetData>
    <row r="1" customFormat="false" ht="15" hidden="false" customHeight="true" outlineLevel="0" collapsed="false">
      <c r="A1" s="145" t="s">
        <v>274</v>
      </c>
      <c r="B1" s="145" t="s">
        <v>11</v>
      </c>
      <c r="C1" s="145" t="s">
        <v>384</v>
      </c>
      <c r="D1" s="145" t="s">
        <v>411</v>
      </c>
      <c r="E1" s="145" t="s">
        <v>386</v>
      </c>
      <c r="F1" s="145" t="s">
        <v>12</v>
      </c>
      <c r="G1" s="145" t="s">
        <v>450</v>
      </c>
      <c r="H1" s="145" t="s">
        <v>451</v>
      </c>
      <c r="I1" s="145"/>
    </row>
    <row r="2" customFormat="false" ht="35.25" hidden="false" customHeight="true" outlineLevel="0" collapsed="false">
      <c r="A2" s="28" t="s">
        <v>277</v>
      </c>
      <c r="B2" s="28" t="s">
        <v>22</v>
      </c>
      <c r="C2" s="28" t="n">
        <v>1</v>
      </c>
      <c r="D2" s="28"/>
      <c r="E2" s="28"/>
      <c r="F2" s="28" t="s">
        <v>22</v>
      </c>
      <c r="G2" s="28" t="n">
        <v>5</v>
      </c>
      <c r="H2" s="28" t="n">
        <v>3</v>
      </c>
      <c r="I2" s="28"/>
    </row>
    <row r="3" customFormat="false" ht="35.25" hidden="false" customHeight="true" outlineLevel="0" collapsed="false">
      <c r="A3" s="28" t="s">
        <v>280</v>
      </c>
      <c r="B3" s="28" t="s">
        <v>22</v>
      </c>
      <c r="C3" s="31" t="n">
        <v>2</v>
      </c>
      <c r="D3" s="31"/>
      <c r="E3" s="31"/>
      <c r="F3" s="31" t="s">
        <v>22</v>
      </c>
      <c r="G3" s="31" t="n">
        <v>3</v>
      </c>
      <c r="H3" s="31" t="n">
        <v>3</v>
      </c>
      <c r="I3" s="28"/>
      <c r="J3" s="28"/>
    </row>
    <row r="4" customFormat="false" ht="35.25" hidden="false" customHeight="true" outlineLevel="0" collapsed="false">
      <c r="A4" s="31" t="s">
        <v>283</v>
      </c>
      <c r="B4" s="31" t="s">
        <v>30</v>
      </c>
      <c r="C4" s="28" t="n">
        <v>1</v>
      </c>
      <c r="D4" s="28"/>
      <c r="E4" s="28"/>
      <c r="F4" s="28" t="s">
        <v>31</v>
      </c>
      <c r="G4" s="28" t="n">
        <v>4</v>
      </c>
      <c r="H4" s="28" t="n">
        <v>6</v>
      </c>
      <c r="I4" s="31"/>
    </row>
    <row r="5" customFormat="false" ht="35.25" hidden="false" customHeight="true" outlineLevel="0" collapsed="false">
      <c r="A5" s="31" t="s">
        <v>285</v>
      </c>
      <c r="B5" s="31" t="s">
        <v>30</v>
      </c>
      <c r="C5" s="31" t="n">
        <v>2</v>
      </c>
      <c r="D5" s="31"/>
      <c r="E5" s="31"/>
      <c r="F5" s="31" t="s">
        <v>31</v>
      </c>
      <c r="G5" s="31" t="n">
        <v>3</v>
      </c>
      <c r="H5" s="31" t="n">
        <v>6</v>
      </c>
      <c r="I5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128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2026-04-18T16:38:02Z</dcterms:created>
  <dc:creator>openpyxl</dc:creator>
  <dc:description/>
  <dc:language>en-US</dc:language>
  <cp:lastModifiedBy/>
  <cp:lastPrinted>2026-05-16T19:37:46Z</cp:lastPrinted>
  <dcterms:modified xsi:type="dcterms:W3CDTF">2026-05-16T20:00:25Z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